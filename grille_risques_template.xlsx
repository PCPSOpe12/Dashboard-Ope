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ithem.aloui\Downloads\"/>
    </mc:Choice>
  </mc:AlternateContent>
  <xr:revisionPtr revIDLastSave="0" documentId="13_ncr:1_{53C13E77-34F1-40B3-B37C-C7DEF0A320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ille dévaluation des risq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L8WITzrj4OkJ3RDhPf0JMZC70IN9j2KwGNh5XK7OMo="/>
    </ext>
  </extLst>
</workbook>
</file>

<file path=xl/calcChain.xml><?xml version="1.0" encoding="utf-8"?>
<calcChain xmlns="http://schemas.openxmlformats.org/spreadsheetml/2006/main">
  <c r="D11" i="1" l="1"/>
  <c r="E11" i="1" s="1"/>
  <c r="D10" i="1"/>
  <c r="E10" i="1" s="1"/>
  <c r="D9" i="1"/>
  <c r="E9" i="1" s="1"/>
  <c r="E12" i="1" s="1"/>
  <c r="E8" i="1"/>
  <c r="E13" i="1" l="1"/>
  <c r="F16" i="1"/>
  <c r="D16" i="1" s="1"/>
  <c r="F15" i="1"/>
  <c r="D15" i="1" s="1"/>
</calcChain>
</file>

<file path=xl/sharedStrings.xml><?xml version="1.0" encoding="utf-8"?>
<sst xmlns="http://schemas.openxmlformats.org/spreadsheetml/2006/main" count="106" uniqueCount="61">
  <si>
    <r>
      <rPr>
        <b/>
        <u/>
        <sz val="14"/>
        <color theme="1"/>
        <rFont val="Arial"/>
      </rPr>
      <t xml:space="preserve">GRILLE D'ÉVALUATION DES RISQUES
</t>
    </r>
    <r>
      <rPr>
        <b/>
        <u/>
        <sz val="12"/>
        <color theme="1"/>
        <rFont val="Arial"/>
      </rPr>
      <t xml:space="preserve"> (arrêté du 7 novembre 2006 fixant le référentiel national relatif aux dispositifs prévisionnels de secours)</t>
    </r>
  </si>
  <si>
    <t xml:space="preserve">   Intitulé de la manifestation : </t>
  </si>
  <si>
    <t xml:space="preserve">   Date(s) et lieu :</t>
  </si>
  <si>
    <t>P1</t>
  </si>
  <si>
    <t>Effectif prévisible déclaré du public :</t>
  </si>
  <si>
    <t>P = effectif après application du coeficient pondérateur 
(si public &lt; 100.000 : P = P1 ; si public &gt; 100.000 : P = 100.000 + (P1 - 100.000)/2)</t>
  </si>
  <si>
    <t>P2</t>
  </si>
  <si>
    <t>Comportement du public :</t>
  </si>
  <si>
    <t>élevé</t>
  </si>
  <si>
    <t>E1</t>
  </si>
  <si>
    <t>Environnement / accessibilité du site :</t>
  </si>
  <si>
    <t>E2</t>
  </si>
  <si>
    <t>Délai d'intervention des secours publics :</t>
  </si>
  <si>
    <t>faible</t>
  </si>
  <si>
    <t>i</t>
  </si>
  <si>
    <t>Indice total de risque :</t>
  </si>
  <si>
    <t>P2 + E1 + E2</t>
  </si>
  <si>
    <t xml:space="preserve">          (calcul automatique)</t>
  </si>
  <si>
    <t>RIS</t>
  </si>
  <si>
    <t>Ratio d'interventants secouristes :</t>
  </si>
  <si>
    <t>i * (P / 1.000)</t>
  </si>
  <si>
    <t xml:space="preserve">Type de dispositif </t>
  </si>
  <si>
    <t>=</t>
  </si>
  <si>
    <t>Effectif réel de secouristes</t>
  </si>
  <si>
    <t>Pour l'organisateur</t>
  </si>
  <si>
    <t>Pour la Protection Civile Paris Seine</t>
  </si>
  <si>
    <t>Date, nom, cachet et signature</t>
  </si>
  <si>
    <t>[Signature numérique]</t>
  </si>
  <si>
    <r>
      <rPr>
        <b/>
        <u/>
        <sz val="14"/>
        <color theme="1"/>
        <rFont val="Arial"/>
      </rPr>
      <t xml:space="preserve">GRILLE D'ÉVALUATION DES RISQUES (EXPLICATIONS DU MODE DE CALCUL)
</t>
    </r>
    <r>
      <rPr>
        <b/>
        <u/>
        <sz val="12"/>
        <color theme="1"/>
        <rFont val="Arial"/>
      </rPr>
      <t xml:space="preserve"> (arrêté du 7 novembre 2006 fixant le référentiel national relatif aux dispositifs prévisionnels de secours)</t>
    </r>
  </si>
  <si>
    <t>public assis (spectacle, cérémonie cultuelle, réunion publique, restauration, rendez-vous sportif…)</t>
  </si>
  <si>
    <t>modéré</t>
  </si>
  <si>
    <t>public debout (cérémonie cultuelle, réunion publique, restauration, exposition, foire, salon, comice agricole…)</t>
  </si>
  <si>
    <t>moyen</t>
  </si>
  <si>
    <t>public debout (spectacle avec public statique, fête foraine, rendez-vous sportif avec protection du public par rapport à l'événement…)</t>
  </si>
  <si>
    <t>public debout (spectacle avec public dynamique, danse, feria, fête votive, carnaval, spectacle de rue, grande parade, rendez-vous sportif sans protection du public par rapport à l'événement), événement se déroulant sur plusieurs jours avec présence permanente du public (hébergement sur site ou à proximité)</t>
  </si>
  <si>
    <t>structures permanentes (bâtiment, salle en dur), voies publiques avec accès dégagés, conditions d'accès aisées</t>
  </si>
  <si>
    <t>structures non permanentes (gradins, tribunes, chapiteaux), espaces naturels &lt; 2 ha, 150 à 300 m de brancardage, terrain en pente sur plus de 100 m</t>
  </si>
  <si>
    <t>espaces naturels de 2 à 5 ha, de 300 à 600 m de brancardage, terrain en pente sur plus de 150 m, autres conditions d'accès difficiles</t>
  </si>
  <si>
    <t>espaces naturels &gt; 5 ha, plus de 600 m de brancardage, terrain en pente sur plus de 300 m, autres conditions d'accès difficiles (talus, escaliers, voies d'accès non carrossables), progression des secours rendue difficile par la présence du public</t>
  </si>
  <si>
    <t>inférieur à 10 minutes</t>
  </si>
  <si>
    <t>entre 10 et 20 minutes</t>
  </si>
  <si>
    <t>entre 20 et 30 minutes</t>
  </si>
  <si>
    <t>plus de 30 minutes</t>
  </si>
  <si>
    <t>Ratio d'intervenants secouristes :</t>
  </si>
  <si>
    <r>
      <rPr>
        <sz val="8"/>
        <color theme="1"/>
        <rFont val="Arial"/>
      </rPr>
      <t xml:space="preserve">RIS </t>
    </r>
    <r>
      <rPr>
        <sz val="8"/>
        <color theme="1"/>
        <rFont val="Symbol"/>
      </rPr>
      <t>£</t>
    </r>
    <r>
      <rPr>
        <sz val="8"/>
        <color theme="1"/>
        <rFont val="Arial"/>
      </rPr>
      <t xml:space="preserve"> 0,25</t>
    </r>
  </si>
  <si>
    <t>A la diligence de l'autorité de police compétente</t>
  </si>
  <si>
    <r>
      <rPr>
        <sz val="8"/>
        <color theme="1"/>
        <rFont val="Arial"/>
      </rPr>
      <t xml:space="preserve">0,25 &lt; RIS </t>
    </r>
    <r>
      <rPr>
        <sz val="8"/>
        <color theme="1"/>
        <rFont val="Symbol"/>
      </rPr>
      <t>£</t>
    </r>
    <r>
      <rPr>
        <sz val="8"/>
        <color theme="1"/>
        <rFont val="Arial"/>
      </rPr>
      <t xml:space="preserve"> 1,125</t>
    </r>
  </si>
  <si>
    <t>Point d'alerte et de premiers secours (PAPS)</t>
  </si>
  <si>
    <r>
      <rPr>
        <sz val="8"/>
        <color theme="1"/>
        <rFont val="Arial"/>
      </rPr>
      <t xml:space="preserve">1,125 &lt; RIS </t>
    </r>
    <r>
      <rPr>
        <sz val="8"/>
        <color theme="1"/>
        <rFont val="Symbol"/>
      </rPr>
      <t>£</t>
    </r>
    <r>
      <rPr>
        <sz val="8"/>
        <color theme="1"/>
        <rFont val="Arial"/>
      </rPr>
      <t xml:space="preserve"> 12</t>
    </r>
  </si>
  <si>
    <t>Dispositif prévisionnel de secours de petite envergure (DPS-PE)</t>
  </si>
  <si>
    <r>
      <rPr>
        <sz val="8"/>
        <color theme="1"/>
        <rFont val="Arial"/>
      </rPr>
      <t xml:space="preserve">12 &lt; RIS </t>
    </r>
    <r>
      <rPr>
        <sz val="8"/>
        <color theme="1"/>
        <rFont val="Symbol"/>
      </rPr>
      <t>£</t>
    </r>
    <r>
      <rPr>
        <sz val="8"/>
        <color theme="1"/>
        <rFont val="Arial"/>
      </rPr>
      <t xml:space="preserve"> 36</t>
    </r>
  </si>
  <si>
    <t>Dispositif prévisionnel de secours de moyenne envergure (DPS-ME)</t>
  </si>
  <si>
    <t>36 &lt; RIS</t>
  </si>
  <si>
    <t>Dispositif prévisionnel de secours de grande envergure (DPS-GE)</t>
  </si>
  <si>
    <t>Effectif réel de secouristes :</t>
  </si>
  <si>
    <r>
      <rPr>
        <sz val="8"/>
        <color theme="1"/>
        <rFont val="Arial"/>
      </rPr>
      <t xml:space="preserve">0,25 &lt; RIS </t>
    </r>
    <r>
      <rPr>
        <sz val="8"/>
        <color theme="1"/>
        <rFont val="Symbol"/>
      </rPr>
      <t>£</t>
    </r>
    <r>
      <rPr>
        <sz val="8"/>
        <color theme="1"/>
        <rFont val="Arial"/>
      </rPr>
      <t xml:space="preserve"> 1,125</t>
    </r>
  </si>
  <si>
    <t xml:space="preserve"> =&gt; 2</t>
  </si>
  <si>
    <r>
      <rPr>
        <sz val="8"/>
        <color theme="1"/>
        <rFont val="Arial"/>
      </rPr>
      <t xml:space="preserve">1,125 &lt; RIS </t>
    </r>
    <r>
      <rPr>
        <sz val="8"/>
        <color theme="1"/>
        <rFont val="Symbol"/>
      </rPr>
      <t>£</t>
    </r>
    <r>
      <rPr>
        <sz val="8"/>
        <color theme="1"/>
        <rFont val="Arial"/>
      </rPr>
      <t xml:space="preserve"> 4</t>
    </r>
  </si>
  <si>
    <t xml:space="preserve"> =&gt; 4</t>
  </si>
  <si>
    <t>4 &lt; RIS</t>
  </si>
  <si>
    <t xml:space="preserve"> =&gt; nombre pair immédiatement supérieur au RIS déterminé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</si>
</sst>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u/>
      <sz val="14"/>
      <color theme="1"/>
      <name val="Arial"/>
    </font>
    <font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sz val="10"/>
      <color rgb="FFFFFFFF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9"/>
      <name val="Arial"/>
    </font>
    <font>
      <sz val="8"/>
      <color theme="1"/>
      <name val="Arial"/>
    </font>
    <font>
      <sz val="8"/>
      <color theme="1"/>
      <name val="Symbo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4" fillId="2" borderId="16" xfId="0" quotePrefix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4" fillId="2" borderId="19" xfId="0" quotePrefix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2" fillId="2" borderId="4" xfId="0" applyFont="1" applyFill="1" applyBorder="1" applyAlignment="1">
      <alignment horizontal="right" vertical="top" wrapText="1"/>
    </xf>
    <xf numFmtId="0" fontId="2" fillId="2" borderId="4" xfId="0" applyFont="1" applyFill="1" applyBorder="1"/>
    <xf numFmtId="0" fontId="13" fillId="2" borderId="16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vertical="center" wrapText="1"/>
    </xf>
    <xf numFmtId="0" fontId="13" fillId="2" borderId="2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vertical="center" wrapText="1"/>
    </xf>
    <xf numFmtId="0" fontId="13" fillId="2" borderId="29" xfId="0" applyFont="1" applyFill="1" applyBorder="1" applyAlignment="1">
      <alignment vertical="center" wrapText="1"/>
    </xf>
    <xf numFmtId="0" fontId="13" fillId="2" borderId="16" xfId="0" quotePrefix="1" applyFont="1" applyFill="1" applyBorder="1" applyAlignment="1">
      <alignment vertical="center" wrapText="1"/>
    </xf>
    <xf numFmtId="0" fontId="13" fillId="2" borderId="4" xfId="0" quotePrefix="1" applyFont="1" applyFill="1" applyBorder="1" applyAlignment="1">
      <alignment vertical="center" wrapText="1"/>
    </xf>
    <xf numFmtId="0" fontId="13" fillId="2" borderId="19" xfId="0" quotePrefix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2" borderId="20" xfId="0" applyFont="1" applyFill="1" applyBorder="1" applyAlignment="1">
      <alignment horizontal="left" vertical="center" wrapText="1"/>
    </xf>
    <xf numFmtId="0" fontId="1" fillId="0" borderId="9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4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0" fillId="2" borderId="17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" fillId="0" borderId="24" xfId="0" applyFont="1" applyBorder="1"/>
    <xf numFmtId="0" fontId="1" fillId="0" borderId="27" xfId="0" applyFont="1" applyBorder="1"/>
    <xf numFmtId="0" fontId="13" fillId="2" borderId="22" xfId="0" applyFont="1" applyFill="1" applyBorder="1" applyAlignment="1">
      <alignment horizontal="left" vertical="center" wrapText="1"/>
    </xf>
    <xf numFmtId="0" fontId="1" fillId="0" borderId="25" xfId="0" applyFont="1" applyBorder="1"/>
    <xf numFmtId="0" fontId="1" fillId="0" borderId="28" xfId="0" applyFont="1" applyBorder="1"/>
    <xf numFmtId="0" fontId="4" fillId="2" borderId="5" xfId="0" applyFont="1" applyFill="1" applyBorder="1" applyAlignment="1">
      <alignment horizontal="right" vertical="center" wrapText="1"/>
    </xf>
    <xf numFmtId="0" fontId="1" fillId="0" borderId="15" xfId="0" applyFont="1" applyBorder="1"/>
    <xf numFmtId="0" fontId="4" fillId="2" borderId="8" xfId="0" applyFont="1" applyFill="1" applyBorder="1" applyAlignment="1">
      <alignment horizontal="right" vertical="center" wrapText="1"/>
    </xf>
    <xf numFmtId="0" fontId="1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5372100</xdr:colOff>
      <xdr:row>0</xdr:row>
      <xdr:rowOff>819150</xdr:rowOff>
    </xdr:from>
    <xdr:ext cx="20574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322063" y="3632363"/>
          <a:ext cx="20478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DOS-32-01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6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5124450</xdr:colOff>
      <xdr:row>21</xdr:row>
      <xdr:rowOff>57150</xdr:rowOff>
    </xdr:from>
    <xdr:ext cx="2057400" cy="304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322063" y="3632363"/>
          <a:ext cx="20478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DOS-32-01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6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5600700</xdr:colOff>
      <xdr:row>0</xdr:row>
      <xdr:rowOff>171450</xdr:rowOff>
    </xdr:from>
    <xdr:ext cx="2028825" cy="581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336350" y="3494250"/>
          <a:ext cx="20193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244 rue de Vaugirard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75015 Paris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Tél. : 01 43 37 01 01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Fax : 01 43 37 00 22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protectioncivile.org</a:t>
          </a:r>
          <a:endParaRPr sz="1200"/>
        </a:p>
      </xdr:txBody>
    </xdr:sp>
    <xdr:clientData fLocksWithSheet="0"/>
  </xdr:oneCellAnchor>
  <xdr:oneCellAnchor>
    <xdr:from>
      <xdr:col>3</xdr:col>
      <xdr:colOff>4714875</xdr:colOff>
      <xdr:row>20</xdr:row>
      <xdr:rowOff>333375</xdr:rowOff>
    </xdr:from>
    <xdr:ext cx="1971675" cy="581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364925" y="3494250"/>
          <a:ext cx="19621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244 rue de Vaugirard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75015 Paris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Tél. : 01 43 37 01 01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Fax : 01 43 37 00 22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rgbClr val="20446C"/>
              </a:solidFill>
              <a:latin typeface="Arial"/>
              <a:ea typeface="Arial"/>
              <a:cs typeface="Arial"/>
              <a:sym typeface="Arial"/>
            </a:rPr>
            <a:t>protectioncivile.org</a:t>
          </a:r>
          <a:endParaRPr sz="12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4886325" cy="962025"/>
    <xdr:pic>
      <xdr:nvPicPr>
        <xdr:cNvPr id="2" name="image2.jpg" descr="C:\Users\pdevilloutreys\AppData\Local\Microsoft\Windows\Temporary Internet Files\Content.Word\logo-PCPS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20</xdr:row>
      <xdr:rowOff>19050</xdr:rowOff>
    </xdr:from>
    <xdr:ext cx="4886325" cy="1314450"/>
    <xdr:pic>
      <xdr:nvPicPr>
        <xdr:cNvPr id="7" name="image1.jpg" descr="C:\Users\pdevilloutreys\AppData\Local\Microsoft\Windows\Temporary Internet Files\Content.Word\logo-PCPS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D7" sqref="D7"/>
    </sheetView>
  </sheetViews>
  <sheetFormatPr defaultColWidth="12.6328125" defaultRowHeight="15" customHeight="1" x14ac:dyDescent="0.25"/>
  <cols>
    <col min="1" max="1" width="7.36328125" customWidth="1"/>
    <col min="2" max="2" width="36.6328125" customWidth="1"/>
    <col min="3" max="3" width="14.36328125" customWidth="1"/>
    <col min="4" max="4" width="86.90625" customWidth="1"/>
    <col min="5" max="5" width="7.36328125" customWidth="1"/>
    <col min="6" max="26" width="11.36328125" customWidth="1"/>
  </cols>
  <sheetData>
    <row r="1" spans="1:26" ht="70.5" customHeight="1" x14ac:dyDescent="0.25">
      <c r="A1" s="3"/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6" customHeight="1" x14ac:dyDescent="0.25">
      <c r="A3" s="37" t="s">
        <v>0</v>
      </c>
      <c r="B3" s="38"/>
      <c r="C3" s="38"/>
      <c r="D3" s="38"/>
      <c r="E3" s="39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5">
      <c r="A4" s="3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40" t="s">
        <v>1</v>
      </c>
      <c r="B5" s="41"/>
      <c r="C5" s="42"/>
      <c r="D5" s="43"/>
      <c r="E5" s="4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44" t="s">
        <v>2</v>
      </c>
      <c r="B6" s="36"/>
      <c r="C6" s="45"/>
      <c r="D6" s="46"/>
      <c r="E6" s="36"/>
      <c r="F6" s="1"/>
      <c r="G6" s="1"/>
      <c r="H6" s="1"/>
      <c r="I6" s="1"/>
      <c r="J6" s="1"/>
      <c r="K6" s="1"/>
      <c r="L6" s="1"/>
      <c r="M6" s="1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3"/>
      <c r="B7" s="4"/>
      <c r="C7" s="5"/>
      <c r="D7" s="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8" customHeight="1" x14ac:dyDescent="0.25">
      <c r="A8" s="6" t="s">
        <v>3</v>
      </c>
      <c r="B8" s="7" t="s">
        <v>4</v>
      </c>
      <c r="C8" s="8">
        <v>150</v>
      </c>
      <c r="D8" s="9" t="s">
        <v>5</v>
      </c>
      <c r="E8" s="10">
        <f>IF(C8&lt;=100000,C8,100000+(C8-100000)/2)</f>
        <v>150</v>
      </c>
      <c r="F8" s="1"/>
      <c r="G8" s="1"/>
      <c r="H8" s="1"/>
      <c r="I8" s="1"/>
      <c r="J8" s="1"/>
      <c r="K8" s="1"/>
      <c r="L8" s="1"/>
      <c r="M8" s="1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8" customHeight="1" x14ac:dyDescent="0.25">
      <c r="A9" s="6" t="s">
        <v>6</v>
      </c>
      <c r="B9" s="7" t="s">
        <v>7</v>
      </c>
      <c r="C9" s="8" t="s">
        <v>8</v>
      </c>
      <c r="D9" s="7" t="str">
        <f>IF(C9=C50,D50,IF(C9=C51,D51,IF(C9=C52,D52,D53)))</f>
        <v>public debout (spectacle avec public dynamique, danse, feria, fête votive, carnaval, spectacle de rue, grande parade, rendez-vous sportif sans protection du public par rapport à l'événement), événement se déroulant sur plusieurs jours avec présence permanente du public (hébergement sur site ou à proximité)</v>
      </c>
      <c r="E9" s="10">
        <f>IF(D9=D50,E58,IF(D9=D51,E59,IF(D9=D52,E60,E61)))</f>
        <v>0.4</v>
      </c>
      <c r="F9" s="1"/>
      <c r="G9" s="1"/>
      <c r="H9" s="1"/>
      <c r="I9" s="1"/>
      <c r="J9" s="1"/>
      <c r="K9" s="1"/>
      <c r="L9" s="1"/>
      <c r="M9" s="1"/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8" customHeight="1" x14ac:dyDescent="0.25">
      <c r="A10" s="6" t="s">
        <v>9</v>
      </c>
      <c r="B10" s="7" t="s">
        <v>10</v>
      </c>
      <c r="C10" s="8" t="s">
        <v>8</v>
      </c>
      <c r="D10" s="7" t="str">
        <f>IF(C10=C50,D54,IF(C10=C51,D55,IF(C10=C52,D56,D57)))</f>
        <v>espaces naturels &gt; 5 ha, plus de 600 m de brancardage, terrain en pente sur plus de 300 m, autres conditions d'accès difficiles (talus, escaliers, voies d'accès non carrossables), progression des secours rendue difficile par la présence du public</v>
      </c>
      <c r="E10" s="10">
        <f>IF(D10=D54,E54,IF(D10=D55,E55,IF(D10=D56,E56,E57)))</f>
        <v>0.4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8" customHeight="1" x14ac:dyDescent="0.25">
      <c r="A11" s="6" t="s">
        <v>11</v>
      </c>
      <c r="B11" s="7" t="s">
        <v>12</v>
      </c>
      <c r="C11" s="8" t="s">
        <v>13</v>
      </c>
      <c r="D11" s="7" t="str">
        <f>IF(C11=C50,D58,IF(C11=C51,D59,IF(C11=C52,D60,D61)))</f>
        <v>inférieur à 10 minutes</v>
      </c>
      <c r="E11" s="10">
        <f>IF(D11=D58,E58,IF(D11=D59,E59,IF(D11=D60,E60,E61)))</f>
        <v>0.25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6" t="s">
        <v>14</v>
      </c>
      <c r="B12" s="7" t="s">
        <v>15</v>
      </c>
      <c r="C12" s="7" t="s">
        <v>16</v>
      </c>
      <c r="D12" s="7" t="s">
        <v>17</v>
      </c>
      <c r="E12" s="10">
        <f>E9+E10+E11</f>
        <v>1.05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6" t="s">
        <v>18</v>
      </c>
      <c r="B13" s="7" t="s">
        <v>19</v>
      </c>
      <c r="C13" s="7" t="s">
        <v>20</v>
      </c>
      <c r="D13" s="7" t="s">
        <v>17</v>
      </c>
      <c r="E13" s="10">
        <f>(E8/1000)*(E12)</f>
        <v>0.1575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5">
      <c r="A14" s="3"/>
      <c r="B14" s="3"/>
      <c r="C14" s="1"/>
      <c r="D14" s="4"/>
      <c r="E14" s="11"/>
      <c r="F14" s="1"/>
      <c r="G14" s="1"/>
      <c r="H14" s="1"/>
      <c r="I14" s="1"/>
      <c r="J14" s="1"/>
      <c r="K14" s="1"/>
      <c r="L14" s="1"/>
      <c r="M14" s="1"/>
      <c r="N14" s="1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54" t="s">
        <v>21</v>
      </c>
      <c r="B15" s="55"/>
      <c r="C15" s="12" t="s">
        <v>22</v>
      </c>
      <c r="D15" s="47" t="str">
        <f t="shared" ref="D15:D16" si="0">F15</f>
        <v>A la diligence de l'autorité de police compétente</v>
      </c>
      <c r="E15" s="41"/>
      <c r="F15" s="13" t="str">
        <f>IF($E$13&lt;=0.25,"A la diligence de l'autorité de police compétente",IF($E$13&lt;=1.125,"PAPS",IF($E$13&lt;=12,"DPS-PE",IF($E$13&lt;=36,"DPS-ME","DPS-GE"))))</f>
        <v>A la diligence de l'autorité de police compétente</v>
      </c>
      <c r="G15" s="1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56" t="s">
        <v>23</v>
      </c>
      <c r="B16" s="57"/>
      <c r="C16" s="14" t="s">
        <v>22</v>
      </c>
      <c r="D16" s="35">
        <f t="shared" si="0"/>
        <v>0</v>
      </c>
      <c r="E16" s="36"/>
      <c r="F16" s="11">
        <f>IF($E$13&lt;=0.25,0,IF($E$13&lt;=1.125,2,IF($E$13&lt;=4,4,CEILING($E$13,2))))</f>
        <v>0</v>
      </c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 x14ac:dyDescent="0.25">
      <c r="A18" s="1"/>
      <c r="B18" s="15" t="s">
        <v>24</v>
      </c>
      <c r="C18" s="16"/>
      <c r="D18" s="17" t="s">
        <v>25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 customHeight="1" x14ac:dyDescent="0.25">
      <c r="A19" s="3"/>
      <c r="B19" s="4" t="s">
        <v>26</v>
      </c>
      <c r="C19" s="1"/>
      <c r="D19" s="18" t="s">
        <v>26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0" customHeight="1" x14ac:dyDescent="0.25">
      <c r="A20" s="3"/>
      <c r="B20" s="4"/>
      <c r="C20" s="1"/>
      <c r="D20" s="19" t="s">
        <v>27</v>
      </c>
      <c r="E20" s="1"/>
      <c r="F20" s="1"/>
      <c r="G20" s="1"/>
      <c r="H20" s="1"/>
      <c r="I20" s="1"/>
      <c r="J20" s="1"/>
      <c r="K20" s="1"/>
      <c r="L20" s="1"/>
      <c r="M20" s="20"/>
      <c r="N20" s="1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6" customHeight="1" x14ac:dyDescent="0.25">
      <c r="A21" s="3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3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6" customHeight="1" x14ac:dyDescent="0.25">
      <c r="A23" s="37" t="s">
        <v>28</v>
      </c>
      <c r="B23" s="38"/>
      <c r="C23" s="38"/>
      <c r="D23" s="38"/>
      <c r="E23" s="39"/>
      <c r="F23" s="1"/>
      <c r="G23" s="1"/>
      <c r="H23" s="1"/>
      <c r="I23" s="1"/>
      <c r="J23" s="1"/>
      <c r="K23" s="1"/>
      <c r="L23" s="1"/>
      <c r="M23" s="1"/>
      <c r="N23" s="1"/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3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25">
      <c r="A25" s="48" t="s">
        <v>6</v>
      </c>
      <c r="B25" s="51" t="s">
        <v>7</v>
      </c>
      <c r="C25" s="21" t="s">
        <v>13</v>
      </c>
      <c r="D25" s="22" t="s">
        <v>29</v>
      </c>
      <c r="E25" s="23">
        <v>0.25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8" customHeight="1" x14ac:dyDescent="0.25">
      <c r="A26" s="49"/>
      <c r="B26" s="52"/>
      <c r="C26" s="26" t="s">
        <v>30</v>
      </c>
      <c r="D26" s="24" t="s">
        <v>31</v>
      </c>
      <c r="E26" s="27">
        <v>0.3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24" customHeight="1" x14ac:dyDescent="0.25">
      <c r="A27" s="49"/>
      <c r="B27" s="52"/>
      <c r="C27" s="26" t="s">
        <v>32</v>
      </c>
      <c r="D27" s="24" t="s">
        <v>33</v>
      </c>
      <c r="E27" s="27">
        <v>0.35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36" customHeight="1" x14ac:dyDescent="0.25">
      <c r="A28" s="50"/>
      <c r="B28" s="53"/>
      <c r="C28" s="28" t="s">
        <v>8</v>
      </c>
      <c r="D28" s="29" t="s">
        <v>34</v>
      </c>
      <c r="E28" s="30">
        <v>0.4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8" customHeight="1" x14ac:dyDescent="0.25">
      <c r="A29" s="48" t="s">
        <v>9</v>
      </c>
      <c r="B29" s="51" t="s">
        <v>10</v>
      </c>
      <c r="C29" s="21" t="s">
        <v>13</v>
      </c>
      <c r="D29" s="22" t="s">
        <v>35</v>
      </c>
      <c r="E29" s="23">
        <v>0.25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24" customHeight="1" x14ac:dyDescent="0.25">
      <c r="A30" s="49"/>
      <c r="B30" s="52"/>
      <c r="C30" s="26" t="s">
        <v>30</v>
      </c>
      <c r="D30" s="24" t="s">
        <v>36</v>
      </c>
      <c r="E30" s="27">
        <v>0.3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24" customHeight="1" x14ac:dyDescent="0.25">
      <c r="A31" s="49"/>
      <c r="B31" s="52"/>
      <c r="C31" s="26" t="s">
        <v>32</v>
      </c>
      <c r="D31" s="24" t="s">
        <v>37</v>
      </c>
      <c r="E31" s="27">
        <v>0.35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24" customHeight="1" x14ac:dyDescent="0.25">
      <c r="A32" s="50"/>
      <c r="B32" s="53"/>
      <c r="C32" s="28" t="s">
        <v>8</v>
      </c>
      <c r="D32" s="29" t="s">
        <v>38</v>
      </c>
      <c r="E32" s="30">
        <v>0.4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8" customHeight="1" x14ac:dyDescent="0.25">
      <c r="A33" s="48" t="s">
        <v>11</v>
      </c>
      <c r="B33" s="51" t="s">
        <v>12</v>
      </c>
      <c r="C33" s="21" t="s">
        <v>13</v>
      </c>
      <c r="D33" s="22" t="s">
        <v>39</v>
      </c>
      <c r="E33" s="23">
        <v>0.25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8" customHeight="1" x14ac:dyDescent="0.25">
      <c r="A34" s="49"/>
      <c r="B34" s="52"/>
      <c r="C34" s="26" t="s">
        <v>30</v>
      </c>
      <c r="D34" s="24" t="s">
        <v>40</v>
      </c>
      <c r="E34" s="27">
        <v>0.3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8" customHeight="1" x14ac:dyDescent="0.25">
      <c r="A35" s="49"/>
      <c r="B35" s="52"/>
      <c r="C35" s="26" t="s">
        <v>32</v>
      </c>
      <c r="D35" s="24" t="s">
        <v>41</v>
      </c>
      <c r="E35" s="27">
        <v>0.35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8" customHeight="1" x14ac:dyDescent="0.25">
      <c r="A36" s="50"/>
      <c r="B36" s="53"/>
      <c r="C36" s="28" t="s">
        <v>8</v>
      </c>
      <c r="D36" s="29" t="s">
        <v>42</v>
      </c>
      <c r="E36" s="30">
        <v>0.4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8" customHeight="1" x14ac:dyDescent="0.25">
      <c r="A37" s="48" t="s">
        <v>18</v>
      </c>
      <c r="B37" s="51" t="s">
        <v>43</v>
      </c>
      <c r="C37" s="21" t="s">
        <v>44</v>
      </c>
      <c r="D37" s="22" t="s">
        <v>45</v>
      </c>
      <c r="E37" s="23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25">
      <c r="A38" s="49"/>
      <c r="B38" s="52"/>
      <c r="C38" s="26" t="s">
        <v>46</v>
      </c>
      <c r="D38" s="24" t="s">
        <v>47</v>
      </c>
      <c r="E38" s="27"/>
      <c r="F38" s="1"/>
      <c r="G38" s="1"/>
      <c r="H38" s="1"/>
      <c r="I38" s="1"/>
      <c r="J38" s="1"/>
      <c r="K38" s="1"/>
      <c r="L38" s="1"/>
      <c r="M38" s="1"/>
      <c r="N38" s="1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25">
      <c r="A39" s="49"/>
      <c r="B39" s="52"/>
      <c r="C39" s="26" t="s">
        <v>48</v>
      </c>
      <c r="D39" s="24" t="s">
        <v>49</v>
      </c>
      <c r="E39" s="27"/>
      <c r="F39" s="1"/>
      <c r="G39" s="1"/>
      <c r="H39" s="1"/>
      <c r="I39" s="1"/>
      <c r="J39" s="1"/>
      <c r="K39" s="1"/>
      <c r="L39" s="1"/>
      <c r="M39" s="1"/>
      <c r="N39" s="1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25">
      <c r="A40" s="49"/>
      <c r="B40" s="52"/>
      <c r="C40" s="26" t="s">
        <v>50</v>
      </c>
      <c r="D40" s="24" t="s">
        <v>51</v>
      </c>
      <c r="E40" s="27"/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25">
      <c r="A41" s="50"/>
      <c r="B41" s="53"/>
      <c r="C41" s="28" t="s">
        <v>52</v>
      </c>
      <c r="D41" s="29" t="s">
        <v>53</v>
      </c>
      <c r="E41" s="30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25">
      <c r="A42" s="48"/>
      <c r="B42" s="51" t="s">
        <v>54</v>
      </c>
      <c r="C42" s="21" t="s">
        <v>55</v>
      </c>
      <c r="D42" s="31" t="s">
        <v>56</v>
      </c>
      <c r="E42" s="23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25">
      <c r="A43" s="49"/>
      <c r="B43" s="52"/>
      <c r="C43" s="26" t="s">
        <v>57</v>
      </c>
      <c r="D43" s="32" t="s">
        <v>58</v>
      </c>
      <c r="E43" s="27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 x14ac:dyDescent="0.25">
      <c r="A44" s="50"/>
      <c r="B44" s="53"/>
      <c r="C44" s="28" t="s">
        <v>59</v>
      </c>
      <c r="D44" s="33" t="s">
        <v>60</v>
      </c>
      <c r="E44" s="30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3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3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3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3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hidden="1" customHeight="1" x14ac:dyDescent="0.25">
      <c r="A49" s="3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hidden="1" customHeight="1" x14ac:dyDescent="0.25">
      <c r="A50" s="3"/>
      <c r="B50" s="3"/>
      <c r="C50" s="1" t="s">
        <v>13</v>
      </c>
      <c r="D50" s="1" t="s">
        <v>29</v>
      </c>
      <c r="E50" s="1">
        <v>0.25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hidden="1" customHeight="1" x14ac:dyDescent="0.25">
      <c r="A51" s="3"/>
      <c r="B51" s="3"/>
      <c r="C51" s="1" t="s">
        <v>30</v>
      </c>
      <c r="D51" s="1" t="s">
        <v>31</v>
      </c>
      <c r="E51" s="1">
        <v>0.3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hidden="1" customHeight="1" x14ac:dyDescent="0.25">
      <c r="A52" s="3"/>
      <c r="B52" s="3"/>
      <c r="C52" s="1" t="s">
        <v>32</v>
      </c>
      <c r="D52" s="1" t="s">
        <v>33</v>
      </c>
      <c r="E52" s="1">
        <v>0.35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hidden="1" customHeight="1" x14ac:dyDescent="0.25">
      <c r="A53" s="3"/>
      <c r="B53" s="3"/>
      <c r="C53" s="1" t="s">
        <v>8</v>
      </c>
      <c r="D53" s="1" t="s">
        <v>34</v>
      </c>
      <c r="E53" s="1">
        <v>0.4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hidden="1" customHeight="1" x14ac:dyDescent="0.25">
      <c r="A54" s="3"/>
      <c r="B54" s="3"/>
      <c r="C54" s="1" t="s">
        <v>13</v>
      </c>
      <c r="D54" s="1" t="s">
        <v>35</v>
      </c>
      <c r="E54" s="1">
        <v>0.25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hidden="1" customHeight="1" x14ac:dyDescent="0.25">
      <c r="A55" s="3"/>
      <c r="B55" s="3"/>
      <c r="C55" s="1" t="s">
        <v>30</v>
      </c>
      <c r="D55" s="1" t="s">
        <v>36</v>
      </c>
      <c r="E55" s="1">
        <v>0.3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hidden="1" customHeight="1" x14ac:dyDescent="0.25">
      <c r="A56" s="3"/>
      <c r="B56" s="3"/>
      <c r="C56" s="1" t="s">
        <v>32</v>
      </c>
      <c r="D56" s="1" t="s">
        <v>37</v>
      </c>
      <c r="E56" s="1">
        <v>0.35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hidden="1" customHeight="1" x14ac:dyDescent="0.25">
      <c r="A57" s="3"/>
      <c r="B57" s="3"/>
      <c r="C57" s="1" t="s">
        <v>8</v>
      </c>
      <c r="D57" s="1" t="s">
        <v>38</v>
      </c>
      <c r="E57" s="1">
        <v>0.4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hidden="1" customHeight="1" x14ac:dyDescent="0.25">
      <c r="A58" s="3"/>
      <c r="B58" s="3"/>
      <c r="C58" s="1" t="s">
        <v>13</v>
      </c>
      <c r="D58" s="1" t="s">
        <v>39</v>
      </c>
      <c r="E58" s="1">
        <v>0.25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hidden="1" customHeight="1" x14ac:dyDescent="0.25">
      <c r="A59" s="3"/>
      <c r="B59" s="3"/>
      <c r="C59" s="1" t="s">
        <v>30</v>
      </c>
      <c r="D59" s="1" t="s">
        <v>40</v>
      </c>
      <c r="E59" s="1">
        <v>0.3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hidden="1" customHeight="1" x14ac:dyDescent="0.25">
      <c r="A60" s="3"/>
      <c r="B60" s="3"/>
      <c r="C60" s="1" t="s">
        <v>32</v>
      </c>
      <c r="D60" s="1" t="s">
        <v>41</v>
      </c>
      <c r="E60" s="1">
        <v>0.35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hidden="1" customHeight="1" x14ac:dyDescent="0.25">
      <c r="A61" s="3"/>
      <c r="B61" s="3"/>
      <c r="C61" s="1" t="s">
        <v>8</v>
      </c>
      <c r="D61" s="1" t="s">
        <v>42</v>
      </c>
      <c r="E61" s="1">
        <v>0.4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hidden="1" customHeight="1" x14ac:dyDescent="0.25">
      <c r="A62" s="3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3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3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3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3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3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3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3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3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3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3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3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3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3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3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3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3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3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3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3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3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3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3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3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3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3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3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3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3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3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3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3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3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3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3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3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3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3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3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3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3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3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3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3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3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3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3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3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3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3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3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3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3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3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3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3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3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3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3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3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3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3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3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3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3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3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3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3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3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3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3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3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3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3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3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3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3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3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3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3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3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3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3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3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3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3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3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3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3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3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3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3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3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3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3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3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3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3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3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3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3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3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3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3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3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3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3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3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3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3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3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3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3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3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3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3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3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3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3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3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3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3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3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3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3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3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3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3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3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3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3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3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3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3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3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3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3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3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3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3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3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3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3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3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3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3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3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3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3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3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3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3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3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3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3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3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3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3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3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3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3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3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3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3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34"/>
      <c r="B226" s="3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34"/>
      <c r="B227" s="3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34"/>
      <c r="B228" s="3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34"/>
      <c r="B229" s="3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34"/>
      <c r="B230" s="3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34"/>
      <c r="B231" s="3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34"/>
      <c r="B232" s="3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34"/>
      <c r="B233" s="3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34"/>
      <c r="B234" s="3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34"/>
      <c r="B235" s="3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34"/>
      <c r="B236" s="3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34"/>
      <c r="B237" s="3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34"/>
      <c r="B238" s="3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34"/>
      <c r="B239" s="3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34"/>
      <c r="B240" s="3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34"/>
      <c r="B241" s="3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34"/>
      <c r="B242" s="3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34"/>
      <c r="B243" s="3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34"/>
      <c r="B244" s="3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34"/>
      <c r="B245" s="3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34"/>
      <c r="B246" s="3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34"/>
      <c r="B247" s="3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34"/>
      <c r="B248" s="3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34"/>
      <c r="B249" s="3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34"/>
      <c r="B250" s="3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34"/>
      <c r="B251" s="3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34"/>
      <c r="B252" s="3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34"/>
      <c r="B253" s="3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34"/>
      <c r="B254" s="3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34"/>
      <c r="B255" s="3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34"/>
      <c r="B256" s="3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34"/>
      <c r="B257" s="3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34"/>
      <c r="B258" s="3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34"/>
      <c r="B259" s="3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34"/>
      <c r="B260" s="3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34"/>
      <c r="B261" s="3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34"/>
      <c r="B262" s="3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34"/>
      <c r="B263" s="3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34"/>
      <c r="B264" s="3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34"/>
      <c r="B265" s="3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34"/>
      <c r="B266" s="3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34"/>
      <c r="B267" s="3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34"/>
      <c r="B268" s="3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34"/>
      <c r="B269" s="3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34"/>
      <c r="B270" s="3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34"/>
      <c r="B271" s="3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34"/>
      <c r="B272" s="3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34"/>
      <c r="B273" s="3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34"/>
      <c r="B274" s="3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34"/>
      <c r="B275" s="3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34"/>
      <c r="B276" s="3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34"/>
      <c r="B277" s="3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34"/>
      <c r="B278" s="3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34"/>
      <c r="B279" s="3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34"/>
      <c r="B280" s="3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34"/>
      <c r="B281" s="3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34"/>
      <c r="B282" s="3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34"/>
      <c r="B283" s="3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34"/>
      <c r="B284" s="3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34"/>
      <c r="B285" s="3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34"/>
      <c r="B286" s="3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34"/>
      <c r="B287" s="3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34"/>
      <c r="B288" s="3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34"/>
      <c r="B289" s="3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34"/>
      <c r="B290" s="3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34"/>
      <c r="B291" s="3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34"/>
      <c r="B292" s="3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34"/>
      <c r="B293" s="3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34"/>
      <c r="B294" s="3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34"/>
      <c r="B295" s="3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34"/>
      <c r="B296" s="3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34"/>
      <c r="B297" s="3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34"/>
      <c r="B298" s="3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34"/>
      <c r="B299" s="3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34"/>
      <c r="B300" s="3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34"/>
      <c r="B301" s="3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34"/>
      <c r="B302" s="3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34"/>
      <c r="B303" s="3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34"/>
      <c r="B304" s="3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34"/>
      <c r="B305" s="3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34"/>
      <c r="B306" s="3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34"/>
      <c r="B307" s="3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34"/>
      <c r="B308" s="3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34"/>
      <c r="B309" s="3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34"/>
      <c r="B310" s="3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34"/>
      <c r="B311" s="3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34"/>
      <c r="B312" s="3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34"/>
      <c r="B313" s="3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34"/>
      <c r="B314" s="3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34"/>
      <c r="B315" s="3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34"/>
      <c r="B316" s="3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34"/>
      <c r="B317" s="3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34"/>
      <c r="B318" s="3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34"/>
      <c r="B319" s="3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34"/>
      <c r="B320" s="3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34"/>
      <c r="B321" s="3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34"/>
      <c r="B322" s="3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34"/>
      <c r="B323" s="3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34"/>
      <c r="B324" s="3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34"/>
      <c r="B325" s="3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34"/>
      <c r="B326" s="3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34"/>
      <c r="B327" s="3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34"/>
      <c r="B328" s="3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34"/>
      <c r="B329" s="3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34"/>
      <c r="B330" s="3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34"/>
      <c r="B331" s="3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34"/>
      <c r="B332" s="3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34"/>
      <c r="B333" s="3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34"/>
      <c r="B334" s="3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34"/>
      <c r="B335" s="3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34"/>
      <c r="B336" s="3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34"/>
      <c r="B337" s="3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34"/>
      <c r="B338" s="3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34"/>
      <c r="B339" s="3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34"/>
      <c r="B340" s="3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34"/>
      <c r="B341" s="3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34"/>
      <c r="B342" s="3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34"/>
      <c r="B343" s="3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34"/>
      <c r="B344" s="3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34"/>
      <c r="B345" s="3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34"/>
      <c r="B346" s="3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34"/>
      <c r="B347" s="3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34"/>
      <c r="B348" s="3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34"/>
      <c r="B349" s="3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34"/>
      <c r="B350" s="3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34"/>
      <c r="B351" s="3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34"/>
      <c r="B352" s="3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34"/>
      <c r="B353" s="3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34"/>
      <c r="B354" s="3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34"/>
      <c r="B355" s="3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34"/>
      <c r="B356" s="3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34"/>
      <c r="B357" s="3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34"/>
      <c r="B358" s="3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34"/>
      <c r="B359" s="3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34"/>
      <c r="B360" s="3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34"/>
      <c r="B361" s="3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34"/>
      <c r="B362" s="3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34"/>
      <c r="B363" s="3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34"/>
      <c r="B364" s="3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34"/>
      <c r="B365" s="3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34"/>
      <c r="B366" s="3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34"/>
      <c r="B367" s="3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34"/>
      <c r="B368" s="3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34"/>
      <c r="B369" s="3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34"/>
      <c r="B370" s="3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34"/>
      <c r="B371" s="3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34"/>
      <c r="B372" s="3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34"/>
      <c r="B373" s="3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34"/>
      <c r="B374" s="3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34"/>
      <c r="B375" s="3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34"/>
      <c r="B376" s="3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34"/>
      <c r="B377" s="3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34"/>
      <c r="B378" s="3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34"/>
      <c r="B379" s="3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34"/>
      <c r="B380" s="3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34"/>
      <c r="B381" s="3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34"/>
      <c r="B382" s="3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34"/>
      <c r="B383" s="3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34"/>
      <c r="B384" s="3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34"/>
      <c r="B385" s="3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34"/>
      <c r="B386" s="3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34"/>
      <c r="B387" s="3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34"/>
      <c r="B388" s="3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34"/>
      <c r="B389" s="3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34"/>
      <c r="B390" s="3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34"/>
      <c r="B391" s="3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34"/>
      <c r="B392" s="3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34"/>
      <c r="B393" s="3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34"/>
      <c r="B394" s="3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34"/>
      <c r="B395" s="3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34"/>
      <c r="B396" s="3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34"/>
      <c r="B397" s="3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34"/>
      <c r="B398" s="3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34"/>
      <c r="B399" s="3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34"/>
      <c r="B400" s="3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34"/>
      <c r="B401" s="3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34"/>
      <c r="B402" s="3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34"/>
      <c r="B403" s="3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34"/>
      <c r="B404" s="3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34"/>
      <c r="B405" s="3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34"/>
      <c r="B406" s="3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34"/>
      <c r="B407" s="3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34"/>
      <c r="B408" s="3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34"/>
      <c r="B409" s="3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34"/>
      <c r="B410" s="3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34"/>
      <c r="B411" s="3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34"/>
      <c r="B412" s="3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34"/>
      <c r="B413" s="3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34"/>
      <c r="B414" s="3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34"/>
      <c r="B415" s="3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34"/>
      <c r="B416" s="3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34"/>
      <c r="B417" s="3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34"/>
      <c r="B418" s="3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34"/>
      <c r="B419" s="3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34"/>
      <c r="B420" s="3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34"/>
      <c r="B421" s="3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34"/>
      <c r="B422" s="3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34"/>
      <c r="B423" s="3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34"/>
      <c r="B424" s="3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34"/>
      <c r="B425" s="3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34"/>
      <c r="B426" s="3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34"/>
      <c r="B427" s="3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34"/>
      <c r="B428" s="3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34"/>
      <c r="B429" s="3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34"/>
      <c r="B430" s="3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34"/>
      <c r="B431" s="3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34"/>
      <c r="B432" s="3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34"/>
      <c r="B433" s="3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34"/>
      <c r="B434" s="3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34"/>
      <c r="B435" s="3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34"/>
      <c r="B436" s="3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34"/>
      <c r="B437" s="3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34"/>
      <c r="B438" s="3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34"/>
      <c r="B439" s="3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34"/>
      <c r="B440" s="3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34"/>
      <c r="B441" s="3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34"/>
      <c r="B442" s="3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34"/>
      <c r="B443" s="3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34"/>
      <c r="B444" s="3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34"/>
      <c r="B445" s="3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34"/>
      <c r="B446" s="3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34"/>
      <c r="B447" s="3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34"/>
      <c r="B448" s="3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34"/>
      <c r="B449" s="3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34"/>
      <c r="B450" s="3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34"/>
      <c r="B451" s="3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34"/>
      <c r="B452" s="3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34"/>
      <c r="B453" s="3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34"/>
      <c r="B454" s="3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34"/>
      <c r="B455" s="3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34"/>
      <c r="B456" s="3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34"/>
      <c r="B457" s="3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34"/>
      <c r="B458" s="3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34"/>
      <c r="B459" s="3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34"/>
      <c r="B460" s="3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34"/>
      <c r="B461" s="3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34"/>
      <c r="B462" s="3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34"/>
      <c r="B463" s="3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34"/>
      <c r="B464" s="3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34"/>
      <c r="B465" s="3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34"/>
      <c r="B466" s="3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34"/>
      <c r="B467" s="3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34"/>
      <c r="B468" s="3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34"/>
      <c r="B469" s="3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34"/>
      <c r="B470" s="3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34"/>
      <c r="B471" s="3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34"/>
      <c r="B472" s="3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34"/>
      <c r="B473" s="3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34"/>
      <c r="B474" s="3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34"/>
      <c r="B475" s="3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34"/>
      <c r="B476" s="3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34"/>
      <c r="B477" s="3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34"/>
      <c r="B478" s="3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34"/>
      <c r="B479" s="3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34"/>
      <c r="B480" s="3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34"/>
      <c r="B481" s="3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34"/>
      <c r="B482" s="3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34"/>
      <c r="B483" s="3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34"/>
      <c r="B484" s="3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34"/>
      <c r="B485" s="3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34"/>
      <c r="B486" s="3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34"/>
      <c r="B487" s="3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34"/>
      <c r="B488" s="3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34"/>
      <c r="B489" s="3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34"/>
      <c r="B490" s="3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34"/>
      <c r="B491" s="3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34"/>
      <c r="B492" s="3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34"/>
      <c r="B493" s="3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34"/>
      <c r="B494" s="3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34"/>
      <c r="B495" s="3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34"/>
      <c r="B496" s="3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34"/>
      <c r="B497" s="3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34"/>
      <c r="B498" s="3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34"/>
      <c r="B499" s="3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34"/>
      <c r="B500" s="3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34"/>
      <c r="B501" s="3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34"/>
      <c r="B502" s="3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34"/>
      <c r="B503" s="3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34"/>
      <c r="B504" s="3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34"/>
      <c r="B505" s="3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34"/>
      <c r="B506" s="3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34"/>
      <c r="B507" s="3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34"/>
      <c r="B508" s="3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34"/>
      <c r="B509" s="3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34"/>
      <c r="B510" s="3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34"/>
      <c r="B511" s="3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34"/>
      <c r="B512" s="3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34"/>
      <c r="B513" s="3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34"/>
      <c r="B514" s="3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34"/>
      <c r="B515" s="3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34"/>
      <c r="B516" s="3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34"/>
      <c r="B517" s="3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34"/>
      <c r="B518" s="3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34"/>
      <c r="B519" s="3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34"/>
      <c r="B520" s="3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34"/>
      <c r="B521" s="3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34"/>
      <c r="B522" s="3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34"/>
      <c r="B523" s="3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34"/>
      <c r="B524" s="3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34"/>
      <c r="B525" s="3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34"/>
      <c r="B526" s="3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34"/>
      <c r="B527" s="3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34"/>
      <c r="B528" s="3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34"/>
      <c r="B529" s="3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34"/>
      <c r="B530" s="3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34"/>
      <c r="B531" s="3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34"/>
      <c r="B532" s="3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34"/>
      <c r="B533" s="3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34"/>
      <c r="B534" s="3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34"/>
      <c r="B535" s="3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34"/>
      <c r="B536" s="3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34"/>
      <c r="B537" s="3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34"/>
      <c r="B538" s="3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34"/>
      <c r="B539" s="3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34"/>
      <c r="B540" s="3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34"/>
      <c r="B541" s="3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34"/>
      <c r="B542" s="3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34"/>
      <c r="B543" s="3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34"/>
      <c r="B544" s="3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34"/>
      <c r="B545" s="3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34"/>
      <c r="B546" s="3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34"/>
      <c r="B547" s="3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34"/>
      <c r="B548" s="3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34"/>
      <c r="B549" s="3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34"/>
      <c r="B550" s="3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34"/>
      <c r="B551" s="3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34"/>
      <c r="B552" s="3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34"/>
      <c r="B553" s="3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34"/>
      <c r="B554" s="3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34"/>
      <c r="B555" s="3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34"/>
      <c r="B556" s="3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34"/>
      <c r="B557" s="3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34"/>
      <c r="B558" s="3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34"/>
      <c r="B559" s="3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34"/>
      <c r="B560" s="3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34"/>
      <c r="B561" s="3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34"/>
      <c r="B562" s="3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34"/>
      <c r="B563" s="3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34"/>
      <c r="B564" s="3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34"/>
      <c r="B565" s="3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34"/>
      <c r="B566" s="3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34"/>
      <c r="B567" s="3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34"/>
      <c r="B568" s="3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34"/>
      <c r="B569" s="3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34"/>
      <c r="B570" s="3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34"/>
      <c r="B571" s="3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34"/>
      <c r="B572" s="3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34"/>
      <c r="B573" s="3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34"/>
      <c r="B574" s="3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34"/>
      <c r="B575" s="3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34"/>
      <c r="B576" s="3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34"/>
      <c r="B577" s="3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34"/>
      <c r="B578" s="3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34"/>
      <c r="B579" s="3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34"/>
      <c r="B580" s="3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34"/>
      <c r="B581" s="3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34"/>
      <c r="B582" s="3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34"/>
      <c r="B583" s="3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34"/>
      <c r="B584" s="3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34"/>
      <c r="B585" s="3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34"/>
      <c r="B586" s="3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34"/>
      <c r="B587" s="3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34"/>
      <c r="B588" s="3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34"/>
      <c r="B589" s="3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34"/>
      <c r="B590" s="3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34"/>
      <c r="B591" s="3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34"/>
      <c r="B592" s="3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34"/>
      <c r="B593" s="3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34"/>
      <c r="B594" s="3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34"/>
      <c r="B595" s="3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34"/>
      <c r="B596" s="3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34"/>
      <c r="B597" s="3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34"/>
      <c r="B598" s="3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34"/>
      <c r="B599" s="3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34"/>
      <c r="B600" s="3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34"/>
      <c r="B601" s="3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34"/>
      <c r="B602" s="3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34"/>
      <c r="B603" s="3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34"/>
      <c r="B604" s="3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34"/>
      <c r="B605" s="3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34"/>
      <c r="B606" s="3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34"/>
      <c r="B607" s="3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34"/>
      <c r="B608" s="3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34"/>
      <c r="B609" s="3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34"/>
      <c r="B610" s="3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34"/>
      <c r="B611" s="3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34"/>
      <c r="B612" s="3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34"/>
      <c r="B613" s="3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34"/>
      <c r="B614" s="3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34"/>
      <c r="B615" s="3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34"/>
      <c r="B616" s="3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34"/>
      <c r="B617" s="3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34"/>
      <c r="B618" s="3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34"/>
      <c r="B619" s="3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34"/>
      <c r="B620" s="3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34"/>
      <c r="B621" s="3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34"/>
      <c r="B622" s="3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34"/>
      <c r="B623" s="3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34"/>
      <c r="B624" s="3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34"/>
      <c r="B625" s="3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34"/>
      <c r="B626" s="3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34"/>
      <c r="B627" s="3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34"/>
      <c r="B628" s="3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34"/>
      <c r="B629" s="3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34"/>
      <c r="B630" s="3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34"/>
      <c r="B631" s="3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34"/>
      <c r="B632" s="3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34"/>
      <c r="B633" s="3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34"/>
      <c r="B634" s="3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34"/>
      <c r="B635" s="3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34"/>
      <c r="B636" s="3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34"/>
      <c r="B637" s="3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34"/>
      <c r="B638" s="3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34"/>
      <c r="B639" s="3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34"/>
      <c r="B640" s="3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34"/>
      <c r="B641" s="3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34"/>
      <c r="B642" s="3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34"/>
      <c r="B643" s="3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34"/>
      <c r="B644" s="3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34"/>
      <c r="B645" s="3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34"/>
      <c r="B646" s="3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34"/>
      <c r="B647" s="3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34"/>
      <c r="B648" s="3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34"/>
      <c r="B649" s="3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34"/>
      <c r="B650" s="3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34"/>
      <c r="B651" s="3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34"/>
      <c r="B652" s="3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34"/>
      <c r="B653" s="3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34"/>
      <c r="B654" s="3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34"/>
      <c r="B655" s="3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34"/>
      <c r="B656" s="3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34"/>
      <c r="B657" s="3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34"/>
      <c r="B658" s="3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34"/>
      <c r="B659" s="3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34"/>
      <c r="B660" s="3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34"/>
      <c r="B661" s="3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34"/>
      <c r="B662" s="3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34"/>
      <c r="B663" s="3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34"/>
      <c r="B664" s="3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34"/>
      <c r="B665" s="3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34"/>
      <c r="B666" s="3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34"/>
      <c r="B667" s="3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34"/>
      <c r="B668" s="3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34"/>
      <c r="B669" s="3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34"/>
      <c r="B670" s="3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34"/>
      <c r="B671" s="3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34"/>
      <c r="B672" s="3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34"/>
      <c r="B673" s="3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34"/>
      <c r="B674" s="3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34"/>
      <c r="B675" s="3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34"/>
      <c r="B676" s="3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34"/>
      <c r="B677" s="3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34"/>
      <c r="B678" s="3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34"/>
      <c r="B679" s="3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34"/>
      <c r="B680" s="3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34"/>
      <c r="B681" s="3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34"/>
      <c r="B682" s="3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34"/>
      <c r="B683" s="3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34"/>
      <c r="B684" s="3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34"/>
      <c r="B685" s="3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34"/>
      <c r="B686" s="3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34"/>
      <c r="B687" s="3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34"/>
      <c r="B688" s="3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34"/>
      <c r="B689" s="3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34"/>
      <c r="B690" s="3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34"/>
      <c r="B691" s="3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34"/>
      <c r="B692" s="3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34"/>
      <c r="B693" s="3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34"/>
      <c r="B694" s="3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34"/>
      <c r="B695" s="3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34"/>
      <c r="B696" s="3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34"/>
      <c r="B697" s="3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34"/>
      <c r="B698" s="3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34"/>
      <c r="B699" s="3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34"/>
      <c r="B700" s="3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34"/>
      <c r="B701" s="3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34"/>
      <c r="B702" s="3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34"/>
      <c r="B703" s="3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34"/>
      <c r="B704" s="3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34"/>
      <c r="B705" s="3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34"/>
      <c r="B706" s="3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34"/>
      <c r="B707" s="3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34"/>
      <c r="B708" s="3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34"/>
      <c r="B709" s="3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34"/>
      <c r="B710" s="3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34"/>
      <c r="B711" s="3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34"/>
      <c r="B712" s="3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34"/>
      <c r="B713" s="3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34"/>
      <c r="B714" s="3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34"/>
      <c r="B715" s="3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34"/>
      <c r="B716" s="3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34"/>
      <c r="B717" s="3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34"/>
      <c r="B718" s="3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34"/>
      <c r="B719" s="3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34"/>
      <c r="B720" s="3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34"/>
      <c r="B721" s="3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34"/>
      <c r="B722" s="3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34"/>
      <c r="B723" s="3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34"/>
      <c r="B724" s="3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34"/>
      <c r="B725" s="3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34"/>
      <c r="B726" s="3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34"/>
      <c r="B727" s="3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34"/>
      <c r="B728" s="3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34"/>
      <c r="B729" s="3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34"/>
      <c r="B730" s="3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34"/>
      <c r="B731" s="3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34"/>
      <c r="B732" s="3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34"/>
      <c r="B733" s="3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34"/>
      <c r="B734" s="3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34"/>
      <c r="B735" s="3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34"/>
      <c r="B736" s="3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34"/>
      <c r="B737" s="3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34"/>
      <c r="B738" s="3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34"/>
      <c r="B739" s="3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34"/>
      <c r="B740" s="3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34"/>
      <c r="B741" s="3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34"/>
      <c r="B742" s="3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34"/>
      <c r="B743" s="3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34"/>
      <c r="B744" s="3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34"/>
      <c r="B745" s="3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34"/>
      <c r="B746" s="3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34"/>
      <c r="B747" s="3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34"/>
      <c r="B748" s="3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34"/>
      <c r="B749" s="3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34"/>
      <c r="B750" s="3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34"/>
      <c r="B751" s="3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34"/>
      <c r="B752" s="3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34"/>
      <c r="B753" s="3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34"/>
      <c r="B754" s="3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34"/>
      <c r="B755" s="3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34"/>
      <c r="B756" s="3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34"/>
      <c r="B757" s="3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34"/>
      <c r="B758" s="3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34"/>
      <c r="B759" s="3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34"/>
      <c r="B760" s="3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34"/>
      <c r="B761" s="3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34"/>
      <c r="B762" s="3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34"/>
      <c r="B763" s="3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34"/>
      <c r="B764" s="3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34"/>
      <c r="B765" s="3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34"/>
      <c r="B766" s="3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34"/>
      <c r="B767" s="3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34"/>
      <c r="B768" s="3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34"/>
      <c r="B769" s="3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34"/>
      <c r="B770" s="3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34"/>
      <c r="B771" s="3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34"/>
      <c r="B772" s="3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34"/>
      <c r="B773" s="3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34"/>
      <c r="B774" s="3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34"/>
      <c r="B775" s="3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34"/>
      <c r="B776" s="3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34"/>
      <c r="B777" s="3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34"/>
      <c r="B778" s="3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34"/>
      <c r="B779" s="3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34"/>
      <c r="B780" s="3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34"/>
      <c r="B781" s="3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34"/>
      <c r="B782" s="3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34"/>
      <c r="B783" s="3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34"/>
      <c r="B784" s="3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34"/>
      <c r="B785" s="3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34"/>
      <c r="B786" s="3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34"/>
      <c r="B787" s="3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34"/>
      <c r="B788" s="3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34"/>
      <c r="B789" s="3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34"/>
      <c r="B790" s="3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34"/>
      <c r="B791" s="3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34"/>
      <c r="B792" s="3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34"/>
      <c r="B793" s="3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34"/>
      <c r="B794" s="3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34"/>
      <c r="B795" s="3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34"/>
      <c r="B796" s="3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34"/>
      <c r="B797" s="3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34"/>
      <c r="B798" s="3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34"/>
      <c r="B799" s="3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34"/>
      <c r="B800" s="3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34"/>
      <c r="B801" s="3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34"/>
      <c r="B802" s="3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34"/>
      <c r="B803" s="3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34"/>
      <c r="B804" s="3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34"/>
      <c r="B805" s="3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34"/>
      <c r="B806" s="3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34"/>
      <c r="B807" s="3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34"/>
      <c r="B808" s="3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34"/>
      <c r="B809" s="3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34"/>
      <c r="B810" s="3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34"/>
      <c r="B811" s="3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34"/>
      <c r="B812" s="3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34"/>
      <c r="B813" s="3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34"/>
      <c r="B814" s="3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34"/>
      <c r="B815" s="3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34"/>
      <c r="B816" s="3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34"/>
      <c r="B817" s="3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34"/>
      <c r="B818" s="3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34"/>
      <c r="B819" s="3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34"/>
      <c r="B820" s="3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34"/>
      <c r="B821" s="3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34"/>
      <c r="B822" s="3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34"/>
      <c r="B823" s="3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34"/>
      <c r="B824" s="3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34"/>
      <c r="B825" s="3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34"/>
      <c r="B826" s="3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34"/>
      <c r="B827" s="3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34"/>
      <c r="B828" s="3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34"/>
      <c r="B829" s="3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34"/>
      <c r="B830" s="3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34"/>
      <c r="B831" s="3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34"/>
      <c r="B832" s="3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34"/>
      <c r="B833" s="3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34"/>
      <c r="B834" s="3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34"/>
      <c r="B835" s="3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34"/>
      <c r="B836" s="3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34"/>
      <c r="B837" s="3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34"/>
      <c r="B838" s="3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34"/>
      <c r="B839" s="3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34"/>
      <c r="B840" s="3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34"/>
      <c r="B841" s="3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34"/>
      <c r="B842" s="3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34"/>
      <c r="B843" s="3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34"/>
      <c r="B844" s="3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34"/>
      <c r="B845" s="3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34"/>
      <c r="B846" s="3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34"/>
      <c r="B847" s="3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34"/>
      <c r="B848" s="3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34"/>
      <c r="B849" s="3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34"/>
      <c r="B850" s="3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34"/>
      <c r="B851" s="3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34"/>
      <c r="B852" s="3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34"/>
      <c r="B853" s="3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34"/>
      <c r="B854" s="3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34"/>
      <c r="B855" s="3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34"/>
      <c r="B856" s="3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34"/>
      <c r="B857" s="3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34"/>
      <c r="B858" s="3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34"/>
      <c r="B859" s="3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34"/>
      <c r="B860" s="3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34"/>
      <c r="B861" s="3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34"/>
      <c r="B862" s="3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34"/>
      <c r="B863" s="3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34"/>
      <c r="B864" s="3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34"/>
      <c r="B865" s="3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34"/>
      <c r="B866" s="3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34"/>
      <c r="B867" s="3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34"/>
      <c r="B868" s="3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34"/>
      <c r="B869" s="3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34"/>
      <c r="B870" s="3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34"/>
      <c r="B871" s="3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34"/>
      <c r="B872" s="3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34"/>
      <c r="B873" s="3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34"/>
      <c r="B874" s="3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34"/>
      <c r="B875" s="3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34"/>
      <c r="B876" s="3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34"/>
      <c r="B877" s="3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34"/>
      <c r="B878" s="3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34"/>
      <c r="B879" s="3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34"/>
      <c r="B880" s="3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34"/>
      <c r="B881" s="3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34"/>
      <c r="B882" s="3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34"/>
      <c r="B883" s="3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34"/>
      <c r="B884" s="3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34"/>
      <c r="B885" s="3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34"/>
      <c r="B886" s="3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34"/>
      <c r="B887" s="3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34"/>
      <c r="B888" s="3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34"/>
      <c r="B889" s="3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34"/>
      <c r="B890" s="3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34"/>
      <c r="B891" s="3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34"/>
      <c r="B892" s="3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34"/>
      <c r="B893" s="3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34"/>
      <c r="B894" s="3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34"/>
      <c r="B895" s="3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34"/>
      <c r="B896" s="3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34"/>
      <c r="B897" s="3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34"/>
      <c r="B898" s="3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34"/>
      <c r="B899" s="3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34"/>
      <c r="B900" s="3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34"/>
      <c r="B901" s="3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34"/>
      <c r="B902" s="3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34"/>
      <c r="B903" s="3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34"/>
      <c r="B904" s="3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34"/>
      <c r="B905" s="3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34"/>
      <c r="B906" s="3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34"/>
      <c r="B907" s="3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34"/>
      <c r="B908" s="3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34"/>
      <c r="B909" s="3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34"/>
      <c r="B910" s="3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34"/>
      <c r="B911" s="3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34"/>
      <c r="B912" s="3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34"/>
      <c r="B913" s="3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34"/>
      <c r="B914" s="3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34"/>
      <c r="B915" s="3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34"/>
      <c r="B916" s="3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34"/>
      <c r="B917" s="3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34"/>
      <c r="B918" s="3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34"/>
      <c r="B919" s="3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34"/>
      <c r="B920" s="3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34"/>
      <c r="B921" s="3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34"/>
      <c r="B922" s="3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34"/>
      <c r="B923" s="3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34"/>
      <c r="B924" s="3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34"/>
      <c r="B925" s="3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34"/>
      <c r="B926" s="3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34"/>
      <c r="B927" s="3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34"/>
      <c r="B928" s="3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34"/>
      <c r="B929" s="3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34"/>
      <c r="B930" s="3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34"/>
      <c r="B931" s="3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34"/>
      <c r="B932" s="3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34"/>
      <c r="B933" s="3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34"/>
      <c r="B934" s="3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34"/>
      <c r="B935" s="3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34"/>
      <c r="B936" s="3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34"/>
      <c r="B937" s="3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34"/>
      <c r="B938" s="3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34"/>
      <c r="B939" s="3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34"/>
      <c r="B940" s="3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34"/>
      <c r="B941" s="3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34"/>
      <c r="B942" s="3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34"/>
      <c r="B943" s="3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34"/>
      <c r="B944" s="3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34"/>
      <c r="B945" s="3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34"/>
      <c r="B946" s="3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34"/>
      <c r="B947" s="3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34"/>
      <c r="B948" s="3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34"/>
      <c r="B949" s="3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34"/>
      <c r="B950" s="3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34"/>
      <c r="B951" s="3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34"/>
      <c r="B952" s="3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34"/>
      <c r="B953" s="3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34"/>
      <c r="B954" s="3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34"/>
      <c r="B955" s="3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34"/>
      <c r="B956" s="3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34"/>
      <c r="B957" s="3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34"/>
      <c r="B958" s="3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34"/>
      <c r="B959" s="3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34"/>
      <c r="B960" s="3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34"/>
      <c r="B961" s="3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34"/>
      <c r="B962" s="3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34"/>
      <c r="B963" s="3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34"/>
      <c r="B964" s="3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34"/>
      <c r="B965" s="3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34"/>
      <c r="B966" s="3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34"/>
      <c r="B967" s="3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34"/>
      <c r="B968" s="3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34"/>
      <c r="B969" s="3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34"/>
      <c r="B970" s="3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34"/>
      <c r="B971" s="3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34"/>
      <c r="B972" s="3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34"/>
      <c r="B973" s="3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34"/>
      <c r="B974" s="3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34"/>
      <c r="B975" s="3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34"/>
      <c r="B976" s="3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34"/>
      <c r="B977" s="3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34"/>
      <c r="B978" s="3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34"/>
      <c r="B979" s="3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34"/>
      <c r="B980" s="3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34"/>
      <c r="B981" s="3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34"/>
      <c r="B982" s="3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34"/>
      <c r="B983" s="3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34"/>
      <c r="B984" s="3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34"/>
      <c r="B985" s="3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34"/>
      <c r="B986" s="3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34"/>
      <c r="B987" s="3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34"/>
      <c r="B988" s="3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34"/>
      <c r="B989" s="3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34"/>
      <c r="B990" s="3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34"/>
      <c r="B991" s="3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34"/>
      <c r="B992" s="3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34"/>
      <c r="B993" s="3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34"/>
      <c r="B994" s="3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34"/>
      <c r="B995" s="3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34"/>
      <c r="B996" s="3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34"/>
      <c r="B997" s="3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34"/>
      <c r="B998" s="3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34"/>
      <c r="B999" s="3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0">
    <mergeCell ref="A25:A28"/>
    <mergeCell ref="B25:B28"/>
    <mergeCell ref="A29:A32"/>
    <mergeCell ref="B29:B32"/>
    <mergeCell ref="B33:B36"/>
    <mergeCell ref="A33:A36"/>
    <mergeCell ref="A37:A41"/>
    <mergeCell ref="B37:B41"/>
    <mergeCell ref="A42:A44"/>
    <mergeCell ref="B42:B44"/>
    <mergeCell ref="D16:E16"/>
    <mergeCell ref="A23:E23"/>
    <mergeCell ref="A3:E3"/>
    <mergeCell ref="A5:B5"/>
    <mergeCell ref="C5:E5"/>
    <mergeCell ref="A6:B6"/>
    <mergeCell ref="C6:E6"/>
    <mergeCell ref="D15:E15"/>
    <mergeCell ref="A15:B15"/>
    <mergeCell ref="A16:B16"/>
  </mergeCells>
  <dataValidations count="1">
    <dataValidation type="list" allowBlank="1" showErrorMessage="1" sqref="C9:C11" xr:uid="{00000000-0002-0000-0000-000000000000}">
      <formula1>$C$50:$C$53</formula1>
    </dataValidation>
  </dataValidations>
  <printOptions horizontalCentered="1" verticalCentered="1"/>
  <pageMargins left="0.23622047244094491" right="0.23622047244094491" top="3.937007874015748E-2" bottom="3.937007874015748E-2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Grille dévaluation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de Villoutreys</dc:creator>
  <cp:lastModifiedBy>ALOUI Haithem</cp:lastModifiedBy>
  <dcterms:created xsi:type="dcterms:W3CDTF">2006-12-28T16:12:16Z</dcterms:created>
  <dcterms:modified xsi:type="dcterms:W3CDTF">2026-04-22T13:00:09Z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iteId">
    <vt:lpwstr>e4e1abd9-eac7-4a71-ab52-da5c998aa7ba</vt:lpwstr>
  </property>
  <property fmtid="{D5CDD505-2E9C-101B-9397-08002B2CF9AE}" pid="4" name="MSIP_Label_f43b7177-c66c-4b22-a350-7ee86f9a1e74_Owner">
    <vt:lpwstr>clement.sinnaeve@rd.loreal.com</vt:lpwstr>
  </property>
  <property fmtid="{D5CDD505-2E9C-101B-9397-08002B2CF9AE}" pid="5" name="MSIP_Label_f43b7177-c66c-4b22-a350-7ee86f9a1e74_SetDate">
    <vt:lpwstr>2020-10-13T07:51:44.4662687Z</vt:lpwstr>
  </property>
  <property fmtid="{D5CDD505-2E9C-101B-9397-08002B2CF9AE}" pid="6" name="MSIP_Label_f43b7177-c66c-4b22-a350-7ee86f9a1e74_Name">
    <vt:lpwstr>C1 - Internal use</vt:lpwstr>
  </property>
  <property fmtid="{D5CDD505-2E9C-101B-9397-08002B2CF9AE}" pid="7" name="MSIP_Label_f43b7177-c66c-4b22-a350-7ee86f9a1e74_Application">
    <vt:lpwstr>Microsoft Azure Information Protection</vt:lpwstr>
  </property>
  <property fmtid="{D5CDD505-2E9C-101B-9397-08002B2CF9AE}" pid="8" name="MSIP_Label_f43b7177-c66c-4b22-a350-7ee86f9a1e74_ActionId">
    <vt:lpwstr>4a679464-3553-41ed-9b16-4da9de2fd811</vt:lpwstr>
  </property>
  <property fmtid="{D5CDD505-2E9C-101B-9397-08002B2CF9AE}" pid="9" name="MSIP_Label_f43b7177-c66c-4b22-a350-7ee86f9a1e74_Extended_MSFT_Method">
    <vt:lpwstr>Automatic</vt:lpwstr>
  </property>
  <property fmtid="{D5CDD505-2E9C-101B-9397-08002B2CF9AE}" pid="10" name="Sensitivity">
    <vt:lpwstr>C1 - Internal use</vt:lpwstr>
  </property>
</Properties>
</file>