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00" firstSheet="0" activeTab="0" autoFilterDateGrouping="1"/>
  </bookViews>
  <sheets>
    <sheet xmlns:r="http://schemas.openxmlformats.org/officeDocument/2006/relationships" name="Grille dévaluation des risques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d/m/yyyy"/>
  </numFmts>
  <fonts count="15">
    <font>
      <name val="Arial"/>
      <color rgb="FF000000"/>
      <sz val="10"/>
      <scheme val="minor"/>
    </font>
    <font>
      <name val="Arial"/>
      <sz val="10"/>
    </font>
    <font>
      <name val="Arial"/>
      <color theme="1"/>
      <sz val="10"/>
    </font>
    <font>
      <name val="Arial"/>
      <b val="1"/>
      <color theme="1"/>
      <sz val="14"/>
      <u val="single"/>
    </font>
    <font>
      <name val="Arial"/>
      <color theme="1"/>
      <sz val="12"/>
    </font>
    <font>
      <name val="Arial"/>
      <b val="1"/>
      <color theme="1"/>
      <sz val="12"/>
      <u val="single"/>
    </font>
    <font>
      <name val="Arial"/>
      <b val="1"/>
      <color theme="1"/>
      <sz val="12"/>
      <u val="single"/>
    </font>
    <font>
      <name val="Arial"/>
      <b val="1"/>
      <color theme="1"/>
      <sz val="10"/>
      <u val="single"/>
    </font>
    <font>
      <name val="Arial"/>
      <b val="1"/>
      <color theme="1"/>
      <sz val="10"/>
      <u val="single"/>
    </font>
    <font>
      <name val="Arial"/>
      <color rgb="FFFFFFFF"/>
      <sz val="10"/>
    </font>
    <font>
      <name val="Arial"/>
      <b val="1"/>
      <color theme="1"/>
      <sz val="12"/>
    </font>
    <font>
      <name val="Arial"/>
      <b val="1"/>
      <color theme="1"/>
      <sz val="10"/>
    </font>
    <font>
      <name val="Arial"/>
      <color theme="9"/>
      <sz val="10"/>
    </font>
    <font>
      <name val="Arial"/>
      <color theme="1"/>
      <sz val="8"/>
    </font>
    <font>
      <name val="Symbol"/>
      <color theme="1"/>
      <sz val="8"/>
    </font>
  </fonts>
  <fills count="3">
    <fill>
      <patternFill/>
    </fill>
    <fill>
      <patternFill patternType="gray125"/>
    </fill>
    <fill>
      <patternFill patternType="solid">
        <fgColor theme="0"/>
        <bgColor theme="0"/>
      </patternFill>
    </fill>
  </fills>
  <borders count="32"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25"/>
  </cellStyleXfs>
  <cellXfs count="75">
    <xf numFmtId="0" fontId="0" fillId="0" borderId="0" pivotButton="0" quotePrefix="0" xfId="0"/>
    <xf numFmtId="0" fontId="2" fillId="2" borderId="4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2" fillId="2" borderId="4" applyAlignment="1" pivotButton="0" quotePrefix="0" xfId="0">
      <alignment horizontal="center" vertical="center" wrapText="1"/>
    </xf>
    <xf numFmtId="0" fontId="2" fillId="2" borderId="4" applyAlignment="1" pivotButton="0" quotePrefix="0" xfId="0">
      <alignment horizontal="left" vertical="center" wrapText="1"/>
    </xf>
    <xf numFmtId="0" fontId="7" fillId="2" borderId="4" applyAlignment="1" pivotButton="0" quotePrefix="0" xfId="0">
      <alignment horizontal="center" vertical="center" wrapText="1"/>
    </xf>
    <xf numFmtId="0" fontId="2" fillId="2" borderId="11" applyAlignment="1" pivotButton="0" quotePrefix="0" xfId="0">
      <alignment horizontal="center" vertical="center" wrapText="1"/>
    </xf>
    <xf numFmtId="0" fontId="2" fillId="2" borderId="12" applyAlignment="1" pivotButton="0" quotePrefix="0" xfId="0">
      <alignment vertical="center" wrapText="1"/>
    </xf>
    <xf numFmtId="0" fontId="8" fillId="2" borderId="13" applyAlignment="1" pivotButton="0" quotePrefix="0" xfId="0">
      <alignment horizontal="center" vertical="center" wrapText="1"/>
    </xf>
    <xf numFmtId="0" fontId="2" fillId="2" borderId="12" applyAlignment="1" pivotButton="0" quotePrefix="0" xfId="0">
      <alignment horizontal="left" vertical="center" wrapText="1"/>
    </xf>
    <xf numFmtId="0" fontId="2" fillId="2" borderId="14" applyAlignment="1" pivotButton="0" quotePrefix="0" xfId="0">
      <alignment vertical="center" wrapText="1"/>
    </xf>
    <xf numFmtId="0" fontId="9" fillId="2" borderId="4" applyAlignment="1" pivotButton="0" quotePrefix="0" xfId="0">
      <alignment vertical="center" wrapText="1"/>
    </xf>
    <xf numFmtId="0" fontId="4" fillId="2" borderId="16" applyAlignment="1" pivotButton="0" quotePrefix="1" xfId="0">
      <alignment horizontal="center" vertical="center" wrapText="1"/>
    </xf>
    <xf numFmtId="0" fontId="9" fillId="2" borderId="4" applyAlignment="1" pivotButton="0" quotePrefix="0" xfId="0">
      <alignment horizontal="left" vertical="center" wrapText="1"/>
    </xf>
    <xf numFmtId="0" fontId="4" fillId="2" borderId="19" applyAlignment="1" pivotButton="0" quotePrefix="1" xfId="0">
      <alignment horizontal="center" vertical="center" wrapText="1"/>
    </xf>
    <xf numFmtId="0" fontId="11" fillId="2" borderId="4" applyAlignment="1" pivotButton="0" quotePrefix="0" xfId="0">
      <alignment horizontal="left" vertical="center" wrapText="1"/>
    </xf>
    <xf numFmtId="164" fontId="2" fillId="2" borderId="4" applyAlignment="1" pivotButton="0" quotePrefix="0" xfId="0">
      <alignment horizontal="center" vertical="center" wrapText="1"/>
    </xf>
    <xf numFmtId="0" fontId="11" fillId="2" borderId="4" applyAlignment="1" pivotButton="0" quotePrefix="0" xfId="0">
      <alignment horizontal="right" vertical="center" wrapText="1"/>
    </xf>
    <xf numFmtId="0" fontId="2" fillId="2" borderId="4" applyAlignment="1" pivotButton="0" quotePrefix="0" xfId="0">
      <alignment horizontal="right" vertical="center" wrapText="1"/>
    </xf>
    <xf numFmtId="0" fontId="12" fillId="2" borderId="4" applyAlignment="1" pivotButton="0" quotePrefix="0" xfId="0">
      <alignment horizontal="right" vertical="top" wrapText="1"/>
    </xf>
    <xf numFmtId="0" fontId="2" fillId="2" borderId="4" pivotButton="0" quotePrefix="0" xfId="0"/>
    <xf numFmtId="0" fontId="13" fillId="2" borderId="16" applyAlignment="1" pivotButton="0" quotePrefix="0" xfId="0">
      <alignment horizontal="center" vertical="center" wrapText="1"/>
    </xf>
    <xf numFmtId="0" fontId="13" fillId="2" borderId="16" applyAlignment="1" pivotButton="0" quotePrefix="0" xfId="0">
      <alignment vertical="center" wrapText="1"/>
    </xf>
    <xf numFmtId="0" fontId="13" fillId="2" borderId="23" applyAlignment="1" pivotButton="0" quotePrefix="0" xfId="0">
      <alignment vertical="center" wrapText="1"/>
    </xf>
    <xf numFmtId="0" fontId="13" fillId="2" borderId="4" applyAlignment="1" pivotButton="0" quotePrefix="0" xfId="0">
      <alignment vertical="center" wrapText="1"/>
    </xf>
    <xf numFmtId="0" fontId="13" fillId="0" borderId="0" applyAlignment="1" pivotButton="0" quotePrefix="0" xfId="0">
      <alignment vertical="center" wrapText="1"/>
    </xf>
    <xf numFmtId="0" fontId="13" fillId="2" borderId="4" applyAlignment="1" pivotButton="0" quotePrefix="0" xfId="0">
      <alignment horizontal="center" vertical="center" wrapText="1"/>
    </xf>
    <xf numFmtId="0" fontId="13" fillId="2" borderId="26" applyAlignment="1" pivotButton="0" quotePrefix="0" xfId="0">
      <alignment vertical="center" wrapText="1"/>
    </xf>
    <xf numFmtId="0" fontId="13" fillId="2" borderId="19" applyAlignment="1" pivotButton="0" quotePrefix="0" xfId="0">
      <alignment horizontal="center" vertical="center" wrapText="1"/>
    </xf>
    <xf numFmtId="0" fontId="13" fillId="2" borderId="19" applyAlignment="1" pivotButton="0" quotePrefix="0" xfId="0">
      <alignment vertical="center" wrapText="1"/>
    </xf>
    <xf numFmtId="0" fontId="13" fillId="2" borderId="29" applyAlignment="1" pivotButton="0" quotePrefix="0" xfId="0">
      <alignment vertical="center" wrapText="1"/>
    </xf>
    <xf numFmtId="0" fontId="13" fillId="2" borderId="16" applyAlignment="1" pivotButton="0" quotePrefix="1" xfId="0">
      <alignment vertical="center" wrapText="1"/>
    </xf>
    <xf numFmtId="0" fontId="13" fillId="2" borderId="4" applyAlignment="1" pivotButton="0" quotePrefix="1" xfId="0">
      <alignment vertical="center" wrapText="1"/>
    </xf>
    <xf numFmtId="0" fontId="13" fillId="2" borderId="19" applyAlignment="1" pivotButton="0" quotePrefix="1" xfId="0">
      <alignment vertical="center" wrapText="1"/>
    </xf>
    <xf numFmtId="0" fontId="2" fillId="0" borderId="0" applyAlignment="1" pivotButton="0" quotePrefix="0" xfId="0">
      <alignment horizontal="center" vertical="center" wrapText="1"/>
    </xf>
    <xf numFmtId="0" fontId="10" fillId="2" borderId="20" applyAlignment="1" pivotButton="0" quotePrefix="0" xfId="0">
      <alignment horizontal="left" vertical="center" wrapText="1"/>
    </xf>
    <xf numFmtId="0" fontId="1" fillId="0" borderId="9" pivotButton="0" quotePrefix="0" xfId="0"/>
    <xf numFmtId="0" fontId="3" fillId="2" borderId="1" applyAlignment="1" pivotButton="0" quotePrefix="0" xfId="0">
      <alignment horizontal="center" vertical="center" wrapText="1"/>
    </xf>
    <xf numFmtId="0" fontId="1" fillId="0" borderId="2" pivotButton="0" quotePrefix="0" xfId="0"/>
    <xf numFmtId="0" fontId="1" fillId="0" borderId="3" pivotButton="0" quotePrefix="0" xfId="0"/>
    <xf numFmtId="0" fontId="4" fillId="2" borderId="5" applyAlignment="1" pivotButton="0" quotePrefix="0" xfId="0">
      <alignment horizontal="center" vertical="center" wrapText="1"/>
    </xf>
    <xf numFmtId="0" fontId="1" fillId="0" borderId="6" pivotButton="0" quotePrefix="0" xfId="0"/>
    <xf numFmtId="0" fontId="5" fillId="2" borderId="5" applyAlignment="1" pivotButton="0" quotePrefix="0" xfId="0">
      <alignment horizontal="center" vertical="center" wrapText="1"/>
    </xf>
    <xf numFmtId="0" fontId="1" fillId="0" borderId="7" pivotButton="0" quotePrefix="0" xfId="0"/>
    <xf numFmtId="0" fontId="4" fillId="2" borderId="8" applyAlignment="1" pivotButton="0" quotePrefix="0" xfId="0">
      <alignment horizontal="center" vertical="center" wrapText="1"/>
    </xf>
    <xf numFmtId="0" fontId="6" fillId="2" borderId="8" applyAlignment="1" pivotButton="0" quotePrefix="0" xfId="0">
      <alignment horizontal="center" vertical="center" wrapText="1"/>
    </xf>
    <xf numFmtId="0" fontId="1" fillId="0" borderId="10" pivotButton="0" quotePrefix="0" xfId="0"/>
    <xf numFmtId="0" fontId="10" fillId="2" borderId="17" applyAlignment="1" pivotButton="0" quotePrefix="0" xfId="0">
      <alignment horizontal="left" vertical="center" wrapText="1"/>
    </xf>
    <xf numFmtId="0" fontId="13" fillId="2" borderId="21" applyAlignment="1" pivotButton="0" quotePrefix="0" xfId="0">
      <alignment horizontal="center" vertical="center" wrapText="1"/>
    </xf>
    <xf numFmtId="0" fontId="1" fillId="0" borderId="24" pivotButton="0" quotePrefix="0" xfId="0"/>
    <xf numFmtId="0" fontId="1" fillId="0" borderId="27" pivotButton="0" quotePrefix="0" xfId="0"/>
    <xf numFmtId="0" fontId="13" fillId="2" borderId="22" applyAlignment="1" pivotButton="0" quotePrefix="0" xfId="0">
      <alignment horizontal="left" vertical="center" wrapText="1"/>
    </xf>
    <xf numFmtId="0" fontId="1" fillId="0" borderId="25" pivotButton="0" quotePrefix="0" xfId="0"/>
    <xf numFmtId="0" fontId="1" fillId="0" borderId="28" pivotButton="0" quotePrefix="0" xfId="0"/>
    <xf numFmtId="0" fontId="4" fillId="2" borderId="5" applyAlignment="1" pivotButton="0" quotePrefix="0" xfId="0">
      <alignment horizontal="right" vertical="center" wrapText="1"/>
    </xf>
    <xf numFmtId="0" fontId="1" fillId="0" borderId="15" pivotButton="0" quotePrefix="0" xfId="0"/>
    <xf numFmtId="0" fontId="4" fillId="2" borderId="8" applyAlignment="1" pivotButton="0" quotePrefix="0" xfId="0">
      <alignment horizontal="right" vertical="center" wrapText="1"/>
    </xf>
    <xf numFmtId="0" fontId="1" fillId="0" borderId="18" pivotButton="0" quotePrefix="0" xfId="0"/>
    <xf numFmtId="0" fontId="3" fillId="2" borderId="25" applyAlignment="1" pivotButton="0" quotePrefix="0" xfId="0">
      <alignment horizontal="center" vertical="center" wrapText="1"/>
    </xf>
    <xf numFmtId="0" fontId="4" fillId="2" borderId="30" applyAlignment="1" pivotButton="0" quotePrefix="0" xfId="0">
      <alignment horizontal="center" vertical="center" wrapText="1"/>
    </xf>
    <xf numFmtId="0" fontId="0" fillId="0" borderId="23" pivotButton="0" quotePrefix="0" xfId="0"/>
    <xf numFmtId="0" fontId="5" fillId="2" borderId="30" applyAlignment="1" pivotButton="0" quotePrefix="0" xfId="0">
      <alignment horizontal="center" vertical="center" wrapText="1"/>
    </xf>
    <xf numFmtId="0" fontId="0" fillId="0" borderId="22" pivotButton="0" quotePrefix="0" xfId="0"/>
    <xf numFmtId="0" fontId="4" fillId="2" borderId="31" applyAlignment="1" pivotButton="0" quotePrefix="0" xfId="0">
      <alignment horizontal="center" vertical="center" wrapText="1"/>
    </xf>
    <xf numFmtId="0" fontId="0" fillId="0" borderId="29" pivotButton="0" quotePrefix="0" xfId="0"/>
    <xf numFmtId="0" fontId="6" fillId="2" borderId="31" applyAlignment="1" pivotButton="0" quotePrefix="0" xfId="0">
      <alignment horizontal="center" vertical="center" wrapText="1"/>
    </xf>
    <xf numFmtId="0" fontId="0" fillId="0" borderId="28" pivotButton="0" quotePrefix="0" xfId="0"/>
    <xf numFmtId="0" fontId="4" fillId="2" borderId="21" applyAlignment="1" pivotButton="0" quotePrefix="0" xfId="0">
      <alignment horizontal="right" vertical="center" wrapText="1"/>
    </xf>
    <xf numFmtId="0" fontId="10" fillId="2" borderId="23" applyAlignment="1" pivotButton="0" quotePrefix="0" xfId="0">
      <alignment horizontal="left" vertical="center" wrapText="1"/>
    </xf>
    <xf numFmtId="0" fontId="4" fillId="2" borderId="27" applyAlignment="1" pivotButton="0" quotePrefix="0" xfId="0">
      <alignment horizontal="right" vertical="center" wrapText="1"/>
    </xf>
    <xf numFmtId="0" fontId="10" fillId="2" borderId="29" applyAlignment="1" pivotButton="0" quotePrefix="0" xfId="0">
      <alignment horizontal="left" vertical="center" wrapText="1"/>
    </xf>
    <xf numFmtId="0" fontId="13" fillId="2" borderId="11" applyAlignment="1" pivotButton="0" quotePrefix="0" xfId="0">
      <alignment horizontal="center" vertical="center" wrapText="1"/>
    </xf>
    <xf numFmtId="0" fontId="13" fillId="2" borderId="12" applyAlignment="1" pivotButton="0" quotePrefix="0" xfId="0">
      <alignment horizontal="left" vertical="center" wrapText="1"/>
    </xf>
    <xf numFmtId="0" fontId="0" fillId="0" borderId="24" pivotButton="0" quotePrefix="0" xfId="0"/>
    <xf numFmtId="0" fontId="0" fillId="0" borderId="27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99"/>
  <sheetViews>
    <sheetView tabSelected="1" workbookViewId="0">
      <selection activeCell="D7" sqref="D7"/>
    </sheetView>
  </sheetViews>
  <sheetFormatPr baseColWidth="8" defaultColWidth="12.6328125" defaultRowHeight="15" customHeight="1"/>
  <cols>
    <col width="7.36328125" customWidth="1" min="1" max="1"/>
    <col width="36.6328125" customWidth="1" min="2" max="2"/>
    <col width="14.36328125" customWidth="1" min="3" max="3"/>
    <col width="86.90625" customWidth="1" min="4" max="4"/>
    <col width="7.36328125" customWidth="1" min="5" max="5"/>
    <col width="11.36328125" customWidth="1" min="6" max="26"/>
  </cols>
  <sheetData>
    <row r="1" ht="70.5" customHeight="1">
      <c r="A1" s="3" t="n"/>
      <c r="B1" s="3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2" customHeight="1">
      <c r="A2" s="3" t="n"/>
      <c r="B2" s="3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36" customHeight="1">
      <c r="A3" s="58" t="inlineStr">
        <is>
          <t>GRILLE D'ÉVALUATION DES RISQUES
 (arrêté du 7 novembre 2006 fixant le référentiel national relatif aux dispositifs prévisionnels de secours)</t>
        </is>
      </c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7.25" customHeight="1">
      <c r="A4" s="3" t="n"/>
      <c r="B4" s="3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24" customHeight="1">
      <c r="A5" s="59" t="inlineStr">
        <is>
          <t xml:space="preserve">   Intitulé de la manifestation : </t>
        </is>
      </c>
      <c r="B5" s="60" t="n"/>
      <c r="C5" s="61" t="inlineStr">
        <is>
          <t>Brunch Electronik — 2026</t>
        </is>
      </c>
      <c r="D5" s="62" t="n"/>
      <c r="E5" s="60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24" customHeight="1">
      <c r="A6" s="63" t="inlineStr">
        <is>
          <t xml:space="preserve">   Date(s) et lieu :</t>
        </is>
      </c>
      <c r="B6" s="64" t="n"/>
      <c r="C6" s="65" t="inlineStr"/>
      <c r="D6" s="66" t="n"/>
      <c r="E6" s="64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24" customHeight="1">
      <c r="A7" s="3" t="n"/>
      <c r="B7" s="4" t="n"/>
      <c r="C7" s="5" t="n"/>
      <c r="D7" s="5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 ht="48" customHeight="1">
      <c r="A8" s="6" t="inlineStr">
        <is>
          <t>P1</t>
        </is>
      </c>
      <c r="B8" s="7" t="inlineStr">
        <is>
          <t>Effectif prévisible déclaré du public :</t>
        </is>
      </c>
      <c r="C8" s="8" t="n">
        <v>0</v>
      </c>
      <c r="D8" s="9" t="inlineStr">
        <is>
          <t>P = effectif après application du coeficient pondérateur 
(si public &lt; 100.000 : P = P1 ; si public &gt; 100.000 : P = 100.000 + (P1 - 100.000)/2)</t>
        </is>
      </c>
      <c r="E8" s="10">
        <f>IF(C8&lt;=100000,C8,100000+(C8-100000)/2)</f>
        <v/>
      </c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48" customHeight="1">
      <c r="A9" s="6" t="inlineStr">
        <is>
          <t>P2</t>
        </is>
      </c>
      <c r="B9" s="7" t="inlineStr">
        <is>
          <t>Comportement du public :</t>
        </is>
      </c>
      <c r="C9" s="8" t="inlineStr">
        <is>
          <t>faible</t>
        </is>
      </c>
      <c r="D9" s="7">
        <f>IF(C9=C50,D50,IF(C9=C51,D51,IF(C9=C52,D52,D53)))</f>
        <v/>
      </c>
      <c r="E9" s="10">
        <f>IF(D9=D50,E58,IF(D9=D51,E59,IF(D9=D52,E60,E61)))</f>
        <v/>
      </c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48" customHeight="1">
      <c r="A10" s="6" t="inlineStr">
        <is>
          <t>E1</t>
        </is>
      </c>
      <c r="B10" s="7" t="inlineStr">
        <is>
          <t>Environnement / accessibilité du site :</t>
        </is>
      </c>
      <c r="C10" s="8" t="inlineStr">
        <is>
          <t>faible</t>
        </is>
      </c>
      <c r="D10" s="7">
        <f>IF(C10=C50,D54,IF(C10=C51,D55,IF(C10=C52,D56,D57)))</f>
        <v/>
      </c>
      <c r="E10" s="10">
        <f>IF(D10=D54,E54,IF(D10=D55,E55,IF(D10=D56,E56,E57)))</f>
        <v/>
      </c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48" customHeight="1">
      <c r="A11" s="6" t="inlineStr">
        <is>
          <t>E2</t>
        </is>
      </c>
      <c r="B11" s="7" t="inlineStr">
        <is>
          <t>Délai d'intervention des secours publics :</t>
        </is>
      </c>
      <c r="C11" s="8" t="inlineStr">
        <is>
          <t>faible</t>
        </is>
      </c>
      <c r="D11" s="7">
        <f>IF(C11=C50,D58,IF(C11=C51,D59,IF(C11=C52,D60,D61)))</f>
        <v/>
      </c>
      <c r="E11" s="10">
        <f>IF(D11=D58,E58,IF(D11=D59,E59,IF(D11=D60,E60,E61)))</f>
        <v/>
      </c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24" customHeight="1">
      <c r="A12" s="6" t="inlineStr">
        <is>
          <t>i</t>
        </is>
      </c>
      <c r="B12" s="7" t="inlineStr">
        <is>
          <t>Indice total de risque :</t>
        </is>
      </c>
      <c r="C12" s="7" t="inlineStr">
        <is>
          <t>P2 + E1 + E2</t>
        </is>
      </c>
      <c r="D12" s="7" t="inlineStr">
        <is>
          <t xml:space="preserve">          (calcul automatique)</t>
        </is>
      </c>
      <c r="E12" s="10">
        <f>E9+E10+E11</f>
        <v/>
      </c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24" customHeight="1">
      <c r="A13" s="6" t="inlineStr">
        <is>
          <t>RIS</t>
        </is>
      </c>
      <c r="B13" s="7" t="inlineStr">
        <is>
          <t>Ratio d'interventants secouristes :</t>
        </is>
      </c>
      <c r="C13" s="7" t="inlineStr">
        <is>
          <t>i * (P / 1.000)</t>
        </is>
      </c>
      <c r="D13" s="7" t="inlineStr">
        <is>
          <t xml:space="preserve">          (calcul automatique)</t>
        </is>
      </c>
      <c r="E13" s="10">
        <f>(E8/1000)*(E12)</f>
        <v/>
      </c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5" customHeight="1">
      <c r="A14" s="3" t="n"/>
      <c r="B14" s="3" t="n"/>
      <c r="C14" s="1" t="n"/>
      <c r="D14" s="4" t="n"/>
      <c r="E14" s="1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 ht="24" customHeight="1">
      <c r="A15" s="67" t="inlineStr">
        <is>
          <t xml:space="preserve">Type de dispositif </t>
        </is>
      </c>
      <c r="B15" s="62" t="n"/>
      <c r="C15" s="12" t="inlineStr">
        <is>
          <t>=</t>
        </is>
      </c>
      <c r="D15" s="68">
        <f>F15</f>
        <v/>
      </c>
      <c r="E15" s="60" t="n"/>
      <c r="F15" s="13">
        <f>IF($E$13&lt;=0.25,"A la diligence de l'autorité de police compétente",IF($E$13&lt;=1.125,"PAPS",IF($E$13&lt;=12,"DPS-PE",IF($E$13&lt;=36,"DPS-ME","DPS-GE"))))</f>
        <v/>
      </c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>
      <c r="A16" s="69" t="inlineStr">
        <is>
          <t>Effectif réel de secouristes</t>
        </is>
      </c>
      <c r="B16" s="66" t="n"/>
      <c r="C16" s="14" t="inlineStr">
        <is>
          <t>=</t>
        </is>
      </c>
      <c r="D16" s="70">
        <f>F16</f>
        <v/>
      </c>
      <c r="E16" s="64" t="n"/>
      <c r="F16" s="11">
        <f>IF($E$13&lt;=0.25,0,IF($E$13&lt;=1.125,2,IF($E$13&lt;=4,4,CEILING($E$13,2))))</f>
        <v/>
      </c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15.75" customHeight="1">
      <c r="A17" s="3" t="n"/>
      <c r="B17" s="3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2" customHeight="1">
      <c r="A18" s="1" t="n"/>
      <c r="B18" s="15" t="inlineStr">
        <is>
          <t>Pour l'organisateur</t>
        </is>
      </c>
      <c r="C18" s="16" t="n"/>
      <c r="D18" s="17" t="inlineStr">
        <is>
          <t>Pour la Protection Civile Paris Seine</t>
        </is>
      </c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2" customHeight="1">
      <c r="A19" s="3" t="n"/>
      <c r="B19" s="4" t="inlineStr">
        <is>
          <t>Date, nom, cachet et signature</t>
        </is>
      </c>
      <c r="C19" s="1" t="n"/>
      <c r="D19" s="18" t="inlineStr">
        <is>
          <t>Date, nom, cachet et signature</t>
        </is>
      </c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60" customHeight="1">
      <c r="A20" s="3" t="n"/>
      <c r="B20" s="4" t="n"/>
      <c r="C20" s="1" t="n"/>
      <c r="D20" s="19" t="inlineStr">
        <is>
          <t>[Signature numérique]</t>
        </is>
      </c>
      <c r="E20" s="1" t="n"/>
      <c r="F20" s="1" t="n"/>
      <c r="G20" s="1" t="n"/>
      <c r="H20" s="1" t="n"/>
      <c r="I20" s="1" t="n"/>
      <c r="J20" s="1" t="n"/>
      <c r="K20" s="1" t="n"/>
      <c r="L20" s="1" t="n"/>
      <c r="M20" s="20" t="n"/>
      <c r="N20" s="1" t="n"/>
      <c r="O20" s="1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96" customHeight="1">
      <c r="A21" s="3" t="n"/>
      <c r="B21" s="3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24" customHeight="1">
      <c r="A22" s="3" t="n"/>
      <c r="B22" s="3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36" customHeight="1">
      <c r="A23" s="58" t="inlineStr">
        <is>
          <t>GRILLE D'ÉVALUATION DES RISQUES (EXPLICATIONS DU MODE DE CALCUL)
 (arrêté du 7 novembre 2006 fixant le référentiel national relatif aux dispositifs prévisionnels de secours)</t>
        </is>
      </c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24" customHeight="1">
      <c r="A24" s="3" t="n"/>
      <c r="B24" s="3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8" customHeight="1">
      <c r="A25" s="71" t="inlineStr">
        <is>
          <t>P2</t>
        </is>
      </c>
      <c r="B25" s="72" t="inlineStr">
        <is>
          <t>Comportement du public :</t>
        </is>
      </c>
      <c r="C25" s="21" t="inlineStr">
        <is>
          <t>faible</t>
        </is>
      </c>
      <c r="D25" s="22" t="inlineStr">
        <is>
          <t>public assis (spectacle, cérémonie cultuelle, réunion publique, restauration, rendez-vous sportif…)</t>
        </is>
      </c>
      <c r="E25" s="23" t="n">
        <v>0.25</v>
      </c>
      <c r="F25" s="24" t="n"/>
      <c r="G25" s="24" t="n"/>
      <c r="H25" s="24" t="n"/>
      <c r="I25" s="24" t="n"/>
      <c r="J25" s="24" t="n"/>
      <c r="K25" s="24" t="n"/>
      <c r="L25" s="24" t="n"/>
      <c r="M25" s="24" t="n"/>
      <c r="N25" s="24" t="n"/>
      <c r="O25" s="24" t="n"/>
      <c r="P25" s="25" t="n"/>
      <c r="Q25" s="25" t="n"/>
      <c r="R25" s="25" t="n"/>
      <c r="S25" s="25" t="n"/>
      <c r="T25" s="25" t="n"/>
      <c r="U25" s="25" t="n"/>
      <c r="V25" s="25" t="n"/>
      <c r="W25" s="25" t="n"/>
      <c r="X25" s="25" t="n"/>
      <c r="Y25" s="25" t="n"/>
      <c r="Z25" s="25" t="n"/>
    </row>
    <row r="26" ht="18" customHeight="1">
      <c r="A26" s="73" t="n"/>
      <c r="C26" s="26" t="inlineStr">
        <is>
          <t>modéré</t>
        </is>
      </c>
      <c r="D26" s="24" t="inlineStr">
        <is>
          <t>public debout (cérémonie cultuelle, réunion publique, restauration, exposition, foire, salon, comice agricole…)</t>
        </is>
      </c>
      <c r="E26" s="27" t="n">
        <v>0.3</v>
      </c>
      <c r="F26" s="24" t="n"/>
      <c r="G26" s="24" t="n"/>
      <c r="H26" s="24" t="n"/>
      <c r="I26" s="24" t="n"/>
      <c r="J26" s="24" t="n"/>
      <c r="K26" s="24" t="n"/>
      <c r="L26" s="24" t="n"/>
      <c r="M26" s="24" t="n"/>
      <c r="N26" s="24" t="n"/>
      <c r="O26" s="24" t="n"/>
      <c r="P26" s="25" t="n"/>
      <c r="Q26" s="25" t="n"/>
      <c r="R26" s="25" t="n"/>
      <c r="S26" s="25" t="n"/>
      <c r="T26" s="25" t="n"/>
      <c r="U26" s="25" t="n"/>
      <c r="V26" s="25" t="n"/>
      <c r="W26" s="25" t="n"/>
      <c r="X26" s="25" t="n"/>
      <c r="Y26" s="25" t="n"/>
      <c r="Z26" s="25" t="n"/>
    </row>
    <row r="27" ht="24" customHeight="1">
      <c r="A27" s="73" t="n"/>
      <c r="C27" s="26" t="inlineStr">
        <is>
          <t>moyen</t>
        </is>
      </c>
      <c r="D27" s="24" t="inlineStr">
        <is>
          <t>public debout (spectacle avec public statique, fête foraine, rendez-vous sportif avec protection du public par rapport à l'événement…)</t>
        </is>
      </c>
      <c r="E27" s="27" t="n">
        <v>0.35</v>
      </c>
      <c r="F27" s="24" t="n"/>
      <c r="G27" s="24" t="n"/>
      <c r="H27" s="24" t="n"/>
      <c r="I27" s="24" t="n"/>
      <c r="J27" s="24" t="n"/>
      <c r="K27" s="24" t="n"/>
      <c r="L27" s="24" t="n"/>
      <c r="M27" s="24" t="n"/>
      <c r="N27" s="24" t="n"/>
      <c r="O27" s="24" t="n"/>
      <c r="P27" s="25" t="n"/>
      <c r="Q27" s="25" t="n"/>
      <c r="R27" s="25" t="n"/>
      <c r="S27" s="25" t="n"/>
      <c r="T27" s="25" t="n"/>
      <c r="U27" s="25" t="n"/>
      <c r="V27" s="25" t="n"/>
      <c r="W27" s="25" t="n"/>
      <c r="X27" s="25" t="n"/>
      <c r="Y27" s="25" t="n"/>
      <c r="Z27" s="25" t="n"/>
    </row>
    <row r="28" ht="36" customHeight="1">
      <c r="A28" s="74" t="n"/>
      <c r="B28" s="66" t="n"/>
      <c r="C28" s="28" t="inlineStr">
        <is>
          <t>élevé</t>
        </is>
      </c>
      <c r="D28" s="29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28" s="30" t="n">
        <v>0.4</v>
      </c>
      <c r="F28" s="24" t="n"/>
      <c r="G28" s="24" t="n"/>
      <c r="H28" s="24" t="n"/>
      <c r="I28" s="24" t="n"/>
      <c r="J28" s="24" t="n"/>
      <c r="K28" s="24" t="n"/>
      <c r="L28" s="24" t="n"/>
      <c r="M28" s="24" t="n"/>
      <c r="N28" s="24" t="n"/>
      <c r="O28" s="24" t="n"/>
      <c r="P28" s="25" t="n"/>
      <c r="Q28" s="25" t="n"/>
      <c r="R28" s="25" t="n"/>
      <c r="S28" s="25" t="n"/>
      <c r="T28" s="25" t="n"/>
      <c r="U28" s="25" t="n"/>
      <c r="V28" s="25" t="n"/>
      <c r="W28" s="25" t="n"/>
      <c r="X28" s="25" t="n"/>
      <c r="Y28" s="25" t="n"/>
      <c r="Z28" s="25" t="n"/>
    </row>
    <row r="29" ht="18" customHeight="1">
      <c r="A29" s="71" t="inlineStr">
        <is>
          <t>E1</t>
        </is>
      </c>
      <c r="B29" s="72" t="inlineStr">
        <is>
          <t>Environnement / accessibilité du site :</t>
        </is>
      </c>
      <c r="C29" s="21" t="inlineStr">
        <is>
          <t>faible</t>
        </is>
      </c>
      <c r="D29" s="22" t="inlineStr">
        <is>
          <t>structures permanentes (bâtiment, salle en dur), voies publiques avec accès dégagés, conditions d'accès aisées</t>
        </is>
      </c>
      <c r="E29" s="23" t="n">
        <v>0.25</v>
      </c>
      <c r="F29" s="24" t="n"/>
      <c r="G29" s="24" t="n"/>
      <c r="H29" s="24" t="n"/>
      <c r="I29" s="24" t="n"/>
      <c r="J29" s="24" t="n"/>
      <c r="K29" s="24" t="n"/>
      <c r="L29" s="24" t="n"/>
      <c r="M29" s="24" t="n"/>
      <c r="N29" s="24" t="n"/>
      <c r="O29" s="24" t="n"/>
      <c r="P29" s="25" t="n"/>
      <c r="Q29" s="25" t="n"/>
      <c r="R29" s="25" t="n"/>
      <c r="S29" s="25" t="n"/>
      <c r="T29" s="25" t="n"/>
      <c r="U29" s="25" t="n"/>
      <c r="V29" s="25" t="n"/>
      <c r="W29" s="25" t="n"/>
      <c r="X29" s="25" t="n"/>
      <c r="Y29" s="25" t="n"/>
      <c r="Z29" s="25" t="n"/>
    </row>
    <row r="30" ht="24" customHeight="1">
      <c r="A30" s="73" t="n"/>
      <c r="C30" s="26" t="inlineStr">
        <is>
          <t>modéré</t>
        </is>
      </c>
      <c r="D30" s="24" t="inlineStr">
        <is>
          <t>structures non permanentes (gradins, tribunes, chapiteaux), espaces naturels &lt; 2 ha, 150 à 300 m de brancardage, terrain en pente sur plus de 100 m</t>
        </is>
      </c>
      <c r="E30" s="27" t="n">
        <v>0.3</v>
      </c>
      <c r="F30" s="24" t="n"/>
      <c r="G30" s="24" t="n"/>
      <c r="H30" s="24" t="n"/>
      <c r="I30" s="24" t="n"/>
      <c r="J30" s="24" t="n"/>
      <c r="K30" s="24" t="n"/>
      <c r="L30" s="24" t="n"/>
      <c r="M30" s="24" t="n"/>
      <c r="N30" s="24" t="n"/>
      <c r="O30" s="24" t="n"/>
      <c r="P30" s="25" t="n"/>
      <c r="Q30" s="25" t="n"/>
      <c r="R30" s="25" t="n"/>
      <c r="S30" s="25" t="n"/>
      <c r="T30" s="25" t="n"/>
      <c r="U30" s="25" t="n"/>
      <c r="V30" s="25" t="n"/>
      <c r="W30" s="25" t="n"/>
      <c r="X30" s="25" t="n"/>
      <c r="Y30" s="25" t="n"/>
      <c r="Z30" s="25" t="n"/>
    </row>
    <row r="31" ht="24" customHeight="1">
      <c r="A31" s="73" t="n"/>
      <c r="C31" s="26" t="inlineStr">
        <is>
          <t>moyen</t>
        </is>
      </c>
      <c r="D31" s="24" t="inlineStr">
        <is>
          <t>espaces naturels de 2 à 5 ha, de 300 à 600 m de brancardage, terrain en pente sur plus de 150 m, autres conditions d'accès difficiles</t>
        </is>
      </c>
      <c r="E31" s="27" t="n">
        <v>0.35</v>
      </c>
      <c r="F31" s="24" t="n"/>
      <c r="G31" s="24" t="n"/>
      <c r="H31" s="24" t="n"/>
      <c r="I31" s="24" t="n"/>
      <c r="J31" s="24" t="n"/>
      <c r="K31" s="24" t="n"/>
      <c r="L31" s="24" t="n"/>
      <c r="M31" s="24" t="n"/>
      <c r="N31" s="24" t="n"/>
      <c r="O31" s="24" t="n"/>
      <c r="P31" s="25" t="n"/>
      <c r="Q31" s="25" t="n"/>
      <c r="R31" s="25" t="n"/>
      <c r="S31" s="25" t="n"/>
      <c r="T31" s="25" t="n"/>
      <c r="U31" s="25" t="n"/>
      <c r="V31" s="25" t="n"/>
      <c r="W31" s="25" t="n"/>
      <c r="X31" s="25" t="n"/>
      <c r="Y31" s="25" t="n"/>
      <c r="Z31" s="25" t="n"/>
    </row>
    <row r="32" ht="24" customHeight="1">
      <c r="A32" s="74" t="n"/>
      <c r="B32" s="66" t="n"/>
      <c r="C32" s="28" t="inlineStr">
        <is>
          <t>élevé</t>
        </is>
      </c>
      <c r="D32" s="29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32" s="30" t="n">
        <v>0.4</v>
      </c>
      <c r="F32" s="24" t="n"/>
      <c r="G32" s="24" t="n"/>
      <c r="H32" s="24" t="n"/>
      <c r="I32" s="24" t="n"/>
      <c r="J32" s="24" t="n"/>
      <c r="K32" s="24" t="n"/>
      <c r="L32" s="24" t="n"/>
      <c r="M32" s="24" t="n"/>
      <c r="N32" s="24" t="n"/>
      <c r="O32" s="24" t="n"/>
      <c r="P32" s="25" t="n"/>
      <c r="Q32" s="25" t="n"/>
      <c r="R32" s="25" t="n"/>
      <c r="S32" s="25" t="n"/>
      <c r="T32" s="25" t="n"/>
      <c r="U32" s="25" t="n"/>
      <c r="V32" s="25" t="n"/>
      <c r="W32" s="25" t="n"/>
      <c r="X32" s="25" t="n"/>
      <c r="Y32" s="25" t="n"/>
      <c r="Z32" s="25" t="n"/>
    </row>
    <row r="33" ht="18" customHeight="1">
      <c r="A33" s="71" t="inlineStr">
        <is>
          <t>E2</t>
        </is>
      </c>
      <c r="B33" s="72" t="inlineStr">
        <is>
          <t>Délai d'intervention des secours publics :</t>
        </is>
      </c>
      <c r="C33" s="21" t="inlineStr">
        <is>
          <t>faible</t>
        </is>
      </c>
      <c r="D33" s="22" t="inlineStr">
        <is>
          <t>inférieur à 10 minutes</t>
        </is>
      </c>
      <c r="E33" s="23" t="n">
        <v>0.25</v>
      </c>
      <c r="F33" s="24" t="n"/>
      <c r="G33" s="24" t="n"/>
      <c r="H33" s="24" t="n"/>
      <c r="I33" s="24" t="n"/>
      <c r="J33" s="24" t="n"/>
      <c r="K33" s="24" t="n"/>
      <c r="L33" s="24" t="n"/>
      <c r="M33" s="24" t="n"/>
      <c r="N33" s="24" t="n"/>
      <c r="O33" s="24" t="n"/>
      <c r="P33" s="25" t="n"/>
      <c r="Q33" s="25" t="n"/>
      <c r="R33" s="25" t="n"/>
      <c r="S33" s="25" t="n"/>
      <c r="T33" s="25" t="n"/>
      <c r="U33" s="25" t="n"/>
      <c r="V33" s="25" t="n"/>
      <c r="W33" s="25" t="n"/>
      <c r="X33" s="25" t="n"/>
      <c r="Y33" s="25" t="n"/>
      <c r="Z33" s="25" t="n"/>
    </row>
    <row r="34" ht="18" customHeight="1">
      <c r="A34" s="73" t="n"/>
      <c r="C34" s="26" t="inlineStr">
        <is>
          <t>modéré</t>
        </is>
      </c>
      <c r="D34" s="24" t="inlineStr">
        <is>
          <t>entre 10 et 20 minutes</t>
        </is>
      </c>
      <c r="E34" s="27" t="n">
        <v>0.3</v>
      </c>
      <c r="F34" s="24" t="n"/>
      <c r="G34" s="24" t="n"/>
      <c r="H34" s="24" t="n"/>
      <c r="I34" s="24" t="n"/>
      <c r="J34" s="24" t="n"/>
      <c r="K34" s="24" t="n"/>
      <c r="L34" s="24" t="n"/>
      <c r="M34" s="24" t="n"/>
      <c r="N34" s="24" t="n"/>
      <c r="O34" s="24" t="n"/>
      <c r="P34" s="25" t="n"/>
      <c r="Q34" s="25" t="n"/>
      <c r="R34" s="25" t="n"/>
      <c r="S34" s="25" t="n"/>
      <c r="T34" s="25" t="n"/>
      <c r="U34" s="25" t="n"/>
      <c r="V34" s="25" t="n"/>
      <c r="W34" s="25" t="n"/>
      <c r="X34" s="25" t="n"/>
      <c r="Y34" s="25" t="n"/>
      <c r="Z34" s="25" t="n"/>
    </row>
    <row r="35" ht="18" customHeight="1">
      <c r="A35" s="73" t="n"/>
      <c r="C35" s="26" t="inlineStr">
        <is>
          <t>moyen</t>
        </is>
      </c>
      <c r="D35" s="24" t="inlineStr">
        <is>
          <t>entre 20 et 30 minutes</t>
        </is>
      </c>
      <c r="E35" s="27" t="n">
        <v>0.35</v>
      </c>
      <c r="F35" s="24" t="n"/>
      <c r="G35" s="24" t="n"/>
      <c r="H35" s="24" t="n"/>
      <c r="I35" s="24" t="n"/>
      <c r="J35" s="24" t="n"/>
      <c r="K35" s="24" t="n"/>
      <c r="L35" s="24" t="n"/>
      <c r="M35" s="24" t="n"/>
      <c r="N35" s="24" t="n"/>
      <c r="O35" s="24" t="n"/>
      <c r="P35" s="25" t="n"/>
      <c r="Q35" s="25" t="n"/>
      <c r="R35" s="25" t="n"/>
      <c r="S35" s="25" t="n"/>
      <c r="T35" s="25" t="n"/>
      <c r="U35" s="25" t="n"/>
      <c r="V35" s="25" t="n"/>
      <c r="W35" s="25" t="n"/>
      <c r="X35" s="25" t="n"/>
      <c r="Y35" s="25" t="n"/>
      <c r="Z35" s="25" t="n"/>
    </row>
    <row r="36" ht="18" customHeight="1">
      <c r="A36" s="74" t="n"/>
      <c r="B36" s="66" t="n"/>
      <c r="C36" s="28" t="inlineStr">
        <is>
          <t>élevé</t>
        </is>
      </c>
      <c r="D36" s="29" t="inlineStr">
        <is>
          <t>plus de 30 minutes</t>
        </is>
      </c>
      <c r="E36" s="30" t="n">
        <v>0.4</v>
      </c>
      <c r="F36" s="24" t="n"/>
      <c r="G36" s="24" t="n"/>
      <c r="H36" s="24" t="n"/>
      <c r="I36" s="24" t="n"/>
      <c r="J36" s="24" t="n"/>
      <c r="K36" s="24" t="n"/>
      <c r="L36" s="24" t="n"/>
      <c r="M36" s="24" t="n"/>
      <c r="N36" s="24" t="n"/>
      <c r="O36" s="24" t="n"/>
      <c r="P36" s="25" t="n"/>
      <c r="Q36" s="25" t="n"/>
      <c r="R36" s="25" t="n"/>
      <c r="S36" s="25" t="n"/>
      <c r="T36" s="25" t="n"/>
      <c r="U36" s="25" t="n"/>
      <c r="V36" s="25" t="n"/>
      <c r="W36" s="25" t="n"/>
      <c r="X36" s="25" t="n"/>
      <c r="Y36" s="25" t="n"/>
      <c r="Z36" s="25" t="n"/>
    </row>
    <row r="37" ht="18" customHeight="1">
      <c r="A37" s="71" t="inlineStr">
        <is>
          <t>RIS</t>
        </is>
      </c>
      <c r="B37" s="72" t="inlineStr">
        <is>
          <t>Ratio d'intervenants secouristes :</t>
        </is>
      </c>
      <c r="C37" s="21" t="inlineStr">
        <is>
          <t>RIS £ 0,25</t>
        </is>
      </c>
      <c r="D37" s="22" t="inlineStr">
        <is>
          <t>A la diligence de l'autorité de police compétente</t>
        </is>
      </c>
      <c r="E37" s="23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8" customHeight="1">
      <c r="A38" s="73" t="n"/>
      <c r="C38" s="26" t="inlineStr">
        <is>
          <t>0,25 &lt; RIS £ 1,125</t>
        </is>
      </c>
      <c r="D38" s="24" t="inlineStr">
        <is>
          <t>Point d'alerte et de premiers secours (PAPS)</t>
        </is>
      </c>
      <c r="E38" s="27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8" customHeight="1">
      <c r="A39" s="73" t="n"/>
      <c r="C39" s="26" t="inlineStr">
        <is>
          <t>1,125 &lt; RIS £ 12</t>
        </is>
      </c>
      <c r="D39" s="24" t="inlineStr">
        <is>
          <t>Dispositif prévisionnel de secours de petite envergure (DPS-PE)</t>
        </is>
      </c>
      <c r="E39" s="27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8" customHeight="1">
      <c r="A40" s="73" t="n"/>
      <c r="C40" s="26" t="inlineStr">
        <is>
          <t>12 &lt; RIS £ 36</t>
        </is>
      </c>
      <c r="D40" s="24" t="inlineStr">
        <is>
          <t>Dispositif prévisionnel de secours de moyenne envergure (DPS-ME)</t>
        </is>
      </c>
      <c r="E40" s="27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8" customHeight="1">
      <c r="A41" s="74" t="n"/>
      <c r="B41" s="66" t="n"/>
      <c r="C41" s="28" t="inlineStr">
        <is>
          <t>36 &lt; RIS</t>
        </is>
      </c>
      <c r="D41" s="29" t="inlineStr">
        <is>
          <t>Dispositif prévisionnel de secours de grande envergure (DPS-GE)</t>
        </is>
      </c>
      <c r="E41" s="30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8" customHeight="1">
      <c r="A42" s="71" t="n"/>
      <c r="B42" s="72" t="inlineStr">
        <is>
          <t>Effectif réel de secouristes :</t>
        </is>
      </c>
      <c r="C42" s="21" t="inlineStr">
        <is>
          <t>0,25 &lt; RIS £ 1,125</t>
        </is>
      </c>
      <c r="D42" s="31" t="inlineStr">
        <is>
          <t xml:space="preserve"> =&gt; 2</t>
        </is>
      </c>
      <c r="E42" s="23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8" customHeight="1">
      <c r="A43" s="73" t="n"/>
      <c r="C43" s="26" t="inlineStr">
        <is>
          <t>1,125 &lt; RIS £ 4</t>
        </is>
      </c>
      <c r="D43" s="32" t="inlineStr">
        <is>
          <t xml:space="preserve"> =&gt; 4</t>
        </is>
      </c>
      <c r="E43" s="27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8" customHeight="1">
      <c r="A44" s="74" t="n"/>
      <c r="B44" s="66" t="n"/>
      <c r="C44" s="28" t="inlineStr">
        <is>
          <t>4 &lt; RIS</t>
        </is>
      </c>
      <c r="D44" s="33" t="inlineStr">
        <is>
          <t xml:space="preserve"> =&gt; nombre pair immédiatement supérieur au RIS déterminé</t>
        </is>
      </c>
      <c r="E44" s="30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24" customHeight="1">
      <c r="A45" s="3" t="n"/>
      <c r="B45" s="3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24" customHeight="1">
      <c r="A46" s="3" t="n"/>
      <c r="B46" s="3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2.75" customHeight="1">
      <c r="A47" s="3" t="n"/>
      <c r="B47" s="3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2.75" customHeight="1">
      <c r="A48" s="3" t="n"/>
      <c r="B48" s="3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idden="1" ht="12.75" customHeight="1">
      <c r="A49" s="3" t="n"/>
      <c r="B49" s="3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idden="1" ht="12.75" customHeight="1">
      <c r="A50" s="3" t="n"/>
      <c r="B50" s="3" t="n"/>
      <c r="C50" s="1" t="inlineStr">
        <is>
          <t>faible</t>
        </is>
      </c>
      <c r="D50" s="1" t="inlineStr">
        <is>
          <t>public assis (spectacle, cérémonie cultuelle, réunion publique, restauration, rendez-vous sportif…)</t>
        </is>
      </c>
      <c r="E50" s="1" t="n">
        <v>0.25</v>
      </c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idden="1" ht="12.75" customHeight="1">
      <c r="A51" s="3" t="n"/>
      <c r="B51" s="3" t="n"/>
      <c r="C51" s="1" t="inlineStr">
        <is>
          <t>modéré</t>
        </is>
      </c>
      <c r="D51" s="1" t="inlineStr">
        <is>
          <t>public debout (cérémonie cultuelle, réunion publique, restauration, exposition, foire, salon, comice agricole…)</t>
        </is>
      </c>
      <c r="E51" s="1" t="n">
        <v>0.3</v>
      </c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idden="1" ht="12.75" customHeight="1">
      <c r="A52" s="3" t="n"/>
      <c r="B52" s="3" t="n"/>
      <c r="C52" s="1" t="inlineStr">
        <is>
          <t>moyen</t>
        </is>
      </c>
      <c r="D52" s="1" t="inlineStr">
        <is>
          <t>public debout (spectacle avec public statique, fête foraine, rendez-vous sportif avec protection du public par rapport à l'événement…)</t>
        </is>
      </c>
      <c r="E52" s="1" t="n">
        <v>0.35</v>
      </c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idden="1" ht="12.75" customHeight="1">
      <c r="A53" s="3" t="n"/>
      <c r="B53" s="3" t="n"/>
      <c r="C53" s="1" t="inlineStr">
        <is>
          <t>élevé</t>
        </is>
      </c>
      <c r="D53" s="1" t="inlineStr">
        <is>
          <t>public debout (spectacle avec public dynamique, danse, feria, fête votive, carnaval, spectacle de rue, grande parade, rendez-vous sportif sans protection du public par rapport à l'événement), événement se déroulant sur plusieurs jours avec présence permanente du public (hébergement sur site ou à proximité)</t>
        </is>
      </c>
      <c r="E53" s="1" t="n">
        <v>0.4</v>
      </c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idden="1" ht="12.75" customHeight="1">
      <c r="A54" s="3" t="n"/>
      <c r="B54" s="3" t="n"/>
      <c r="C54" s="1" t="inlineStr">
        <is>
          <t>faible</t>
        </is>
      </c>
      <c r="D54" s="1" t="inlineStr">
        <is>
          <t>structures permanentes (bâtiment, salle en dur), voies publiques avec accès dégagés, conditions d'accès aisées</t>
        </is>
      </c>
      <c r="E54" s="1" t="n">
        <v>0.25</v>
      </c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idden="1" ht="12.75" customHeight="1">
      <c r="A55" s="3" t="n"/>
      <c r="B55" s="3" t="n"/>
      <c r="C55" s="1" t="inlineStr">
        <is>
          <t>modéré</t>
        </is>
      </c>
      <c r="D55" s="1" t="inlineStr">
        <is>
          <t>structures non permanentes (gradins, tribunes, chapiteaux), espaces naturels &lt; 2 ha, 150 à 300 m de brancardage, terrain en pente sur plus de 100 m</t>
        </is>
      </c>
      <c r="E55" s="1" t="n">
        <v>0.3</v>
      </c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idden="1" ht="12.75" customHeight="1">
      <c r="A56" s="3" t="n"/>
      <c r="B56" s="3" t="n"/>
      <c r="C56" s="1" t="inlineStr">
        <is>
          <t>moyen</t>
        </is>
      </c>
      <c r="D56" s="1" t="inlineStr">
        <is>
          <t>espaces naturels de 2 à 5 ha, de 300 à 600 m de brancardage, terrain en pente sur plus de 150 m, autres conditions d'accès difficiles</t>
        </is>
      </c>
      <c r="E56" s="1" t="n">
        <v>0.35</v>
      </c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idden="1" ht="12.75" customHeight="1">
      <c r="A57" s="3" t="n"/>
      <c r="B57" s="3" t="n"/>
      <c r="C57" s="1" t="inlineStr">
        <is>
          <t>élevé</t>
        </is>
      </c>
      <c r="D57" s="1" t="inlineStr">
        <is>
          <t>espaces naturels &gt; 5 ha, plus de 600 m de brancardage, terrain en pente sur plus de 300 m, autres conditions d'accès difficiles (talus, escaliers, voies d'accès non carrossables), progression des secours rendue difficile par la présence du public</t>
        </is>
      </c>
      <c r="E57" s="1" t="n">
        <v>0.4</v>
      </c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idden="1" ht="12.75" customHeight="1">
      <c r="A58" s="3" t="n"/>
      <c r="B58" s="3" t="n"/>
      <c r="C58" s="1" t="inlineStr">
        <is>
          <t>faible</t>
        </is>
      </c>
      <c r="D58" s="1" t="inlineStr">
        <is>
          <t>inférieur à 10 minutes</t>
        </is>
      </c>
      <c r="E58" s="1" t="n">
        <v>0.25</v>
      </c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idden="1" ht="12.75" customHeight="1">
      <c r="A59" s="3" t="n"/>
      <c r="B59" s="3" t="n"/>
      <c r="C59" s="1" t="inlineStr">
        <is>
          <t>modéré</t>
        </is>
      </c>
      <c r="D59" s="1" t="inlineStr">
        <is>
          <t>entre 10 et 20 minutes</t>
        </is>
      </c>
      <c r="E59" s="1" t="n">
        <v>0.3</v>
      </c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idden="1" ht="12.75" customHeight="1">
      <c r="A60" s="3" t="n"/>
      <c r="B60" s="3" t="n"/>
      <c r="C60" s="1" t="inlineStr">
        <is>
          <t>moyen</t>
        </is>
      </c>
      <c r="D60" s="1" t="inlineStr">
        <is>
          <t>entre 20 et 30 minutes</t>
        </is>
      </c>
      <c r="E60" s="1" t="n">
        <v>0.35</v>
      </c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idden="1" ht="12.75" customHeight="1">
      <c r="A61" s="3" t="n"/>
      <c r="B61" s="3" t="n"/>
      <c r="C61" s="1" t="inlineStr">
        <is>
          <t>élevé</t>
        </is>
      </c>
      <c r="D61" s="1" t="inlineStr">
        <is>
          <t>plus de 30 minutes</t>
        </is>
      </c>
      <c r="E61" s="1" t="n">
        <v>0.4</v>
      </c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idden="1" ht="12.75" customHeight="1">
      <c r="A62" s="3" t="n"/>
      <c r="B62" s="3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2.75" customHeight="1">
      <c r="A63" s="3" t="n"/>
      <c r="B63" s="3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2.75" customHeight="1">
      <c r="A64" s="3" t="n"/>
      <c r="B64" s="3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2.75" customHeight="1">
      <c r="A65" s="3" t="n"/>
      <c r="B65" s="3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2.75" customHeight="1">
      <c r="A66" s="3" t="n"/>
      <c r="B66" s="3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2.75" customHeight="1">
      <c r="A67" s="3" t="n"/>
      <c r="B67" s="3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2.75" customHeight="1">
      <c r="A68" s="3" t="n"/>
      <c r="B68" s="3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2.75" customHeight="1">
      <c r="A69" s="3" t="n"/>
      <c r="B69" s="3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2.75" customHeight="1">
      <c r="A70" s="3" t="n"/>
      <c r="B70" s="3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2.75" customHeight="1">
      <c r="A71" s="3" t="n"/>
      <c r="B71" s="3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2.75" customHeight="1">
      <c r="A72" s="3" t="n"/>
      <c r="B72" s="3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2.75" customHeight="1">
      <c r="A73" s="3" t="n"/>
      <c r="B73" s="3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2.75" customHeight="1">
      <c r="A74" s="3" t="n"/>
      <c r="B74" s="3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2.75" customHeight="1">
      <c r="A75" s="3" t="n"/>
      <c r="B75" s="3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2.75" customHeight="1">
      <c r="A76" s="3" t="n"/>
      <c r="B76" s="3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2.75" customHeight="1">
      <c r="A77" s="3" t="n"/>
      <c r="B77" s="3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2.75" customHeight="1">
      <c r="A78" s="3" t="n"/>
      <c r="B78" s="3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2.75" customHeight="1">
      <c r="A79" s="3" t="n"/>
      <c r="B79" s="3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2.75" customHeight="1">
      <c r="A80" s="3" t="n"/>
      <c r="B80" s="3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2.75" customHeight="1">
      <c r="A81" s="3" t="n"/>
      <c r="B81" s="3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2.75" customHeight="1">
      <c r="A82" s="3" t="n"/>
      <c r="B82" s="3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2.75" customHeight="1">
      <c r="A83" s="3" t="n"/>
      <c r="B83" s="3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2.75" customHeight="1">
      <c r="A84" s="3" t="n"/>
      <c r="B84" s="3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2.75" customHeight="1">
      <c r="A85" s="3" t="n"/>
      <c r="B85" s="3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2.75" customHeight="1">
      <c r="A86" s="3" t="n"/>
      <c r="B86" s="3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2.75" customHeight="1">
      <c r="A87" s="3" t="n"/>
      <c r="B87" s="3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2.75" customHeight="1">
      <c r="A88" s="3" t="n"/>
      <c r="B88" s="3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2.75" customHeight="1">
      <c r="A89" s="3" t="n"/>
      <c r="B89" s="3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2.75" customHeight="1">
      <c r="A90" s="3" t="n"/>
      <c r="B90" s="3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2.75" customHeight="1">
      <c r="A91" s="3" t="n"/>
      <c r="B91" s="3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2.75" customHeight="1">
      <c r="A92" s="3" t="n"/>
      <c r="B92" s="3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2.75" customHeight="1">
      <c r="A93" s="3" t="n"/>
      <c r="B93" s="3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2.75" customHeight="1">
      <c r="A94" s="3" t="n"/>
      <c r="B94" s="3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2.75" customHeight="1">
      <c r="A95" s="3" t="n"/>
      <c r="B95" s="3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2.75" customHeight="1">
      <c r="A96" s="3" t="n"/>
      <c r="B96" s="3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2.75" customHeight="1">
      <c r="A97" s="3" t="n"/>
      <c r="B97" s="3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2.75" customHeight="1">
      <c r="A98" s="3" t="n"/>
      <c r="B98" s="3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2.75" customHeight="1">
      <c r="A99" s="3" t="n"/>
      <c r="B99" s="3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2.75" customHeight="1">
      <c r="A100" s="3" t="n"/>
      <c r="B100" s="3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2.75" customHeight="1">
      <c r="A101" s="3" t="n"/>
      <c r="B101" s="3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2.75" customHeight="1">
      <c r="A102" s="3" t="n"/>
      <c r="B102" s="3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2.75" customHeight="1">
      <c r="A103" s="3" t="n"/>
      <c r="B103" s="3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2.75" customHeight="1">
      <c r="A104" s="3" t="n"/>
      <c r="B104" s="3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2.75" customHeight="1">
      <c r="A105" s="3" t="n"/>
      <c r="B105" s="3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2.75" customHeight="1">
      <c r="A106" s="3" t="n"/>
      <c r="B106" s="3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2.75" customHeight="1">
      <c r="A107" s="3" t="n"/>
      <c r="B107" s="3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2.75" customHeight="1">
      <c r="A108" s="3" t="n"/>
      <c r="B108" s="3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2.75" customHeight="1">
      <c r="A109" s="3" t="n"/>
      <c r="B109" s="3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2.75" customHeight="1">
      <c r="A110" s="3" t="n"/>
      <c r="B110" s="3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2.75" customHeight="1">
      <c r="A111" s="3" t="n"/>
      <c r="B111" s="3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2.75" customHeight="1">
      <c r="A112" s="3" t="n"/>
      <c r="B112" s="3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2.75" customHeight="1">
      <c r="A113" s="3" t="n"/>
      <c r="B113" s="3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2.75" customHeight="1">
      <c r="A114" s="3" t="n"/>
      <c r="B114" s="3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2.75" customHeight="1">
      <c r="A115" s="3" t="n"/>
      <c r="B115" s="3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2.75" customHeight="1">
      <c r="A116" s="3" t="n"/>
      <c r="B116" s="3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2.75" customHeight="1">
      <c r="A117" s="3" t="n"/>
      <c r="B117" s="3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2.75" customHeight="1">
      <c r="A118" s="3" t="n"/>
      <c r="B118" s="3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2.75" customHeight="1">
      <c r="A119" s="3" t="n"/>
      <c r="B119" s="3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2.75" customHeight="1">
      <c r="A120" s="3" t="n"/>
      <c r="B120" s="3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2.75" customHeight="1">
      <c r="A121" s="3" t="n"/>
      <c r="B121" s="3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2.75" customHeight="1">
      <c r="A122" s="3" t="n"/>
      <c r="B122" s="3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2.75" customHeight="1">
      <c r="A123" s="3" t="n"/>
      <c r="B123" s="3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2.75" customHeight="1">
      <c r="A124" s="3" t="n"/>
      <c r="B124" s="3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2.75" customHeight="1">
      <c r="A125" s="3" t="n"/>
      <c r="B125" s="3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2.75" customHeight="1">
      <c r="A126" s="3" t="n"/>
      <c r="B126" s="3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2.75" customHeight="1">
      <c r="A127" s="3" t="n"/>
      <c r="B127" s="3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2.75" customHeight="1">
      <c r="A128" s="3" t="n"/>
      <c r="B128" s="3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2.75" customHeight="1">
      <c r="A129" s="3" t="n"/>
      <c r="B129" s="3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2.75" customHeight="1">
      <c r="A130" s="3" t="n"/>
      <c r="B130" s="3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2.75" customHeight="1">
      <c r="A131" s="3" t="n"/>
      <c r="B131" s="3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2.75" customHeight="1">
      <c r="A132" s="3" t="n"/>
      <c r="B132" s="3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2.75" customHeight="1">
      <c r="A133" s="3" t="n"/>
      <c r="B133" s="3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2.75" customHeight="1">
      <c r="A134" s="3" t="n"/>
      <c r="B134" s="3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2.75" customHeight="1">
      <c r="A135" s="3" t="n"/>
      <c r="B135" s="3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2.75" customHeight="1">
      <c r="A136" s="3" t="n"/>
      <c r="B136" s="3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2.75" customHeight="1">
      <c r="A137" s="3" t="n"/>
      <c r="B137" s="3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2.75" customHeight="1">
      <c r="A138" s="3" t="n"/>
      <c r="B138" s="3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2.75" customHeight="1">
      <c r="A139" s="3" t="n"/>
      <c r="B139" s="3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2.75" customHeight="1">
      <c r="A140" s="3" t="n"/>
      <c r="B140" s="3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2.75" customHeight="1">
      <c r="A141" s="3" t="n"/>
      <c r="B141" s="3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2.75" customHeight="1">
      <c r="A142" s="3" t="n"/>
      <c r="B142" s="3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2.75" customHeight="1">
      <c r="A143" s="3" t="n"/>
      <c r="B143" s="3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2.75" customHeight="1">
      <c r="A144" s="3" t="n"/>
      <c r="B144" s="3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2.75" customHeight="1">
      <c r="A145" s="3" t="n"/>
      <c r="B145" s="3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2.75" customHeight="1">
      <c r="A146" s="3" t="n"/>
      <c r="B146" s="3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2.75" customHeight="1">
      <c r="A147" s="3" t="n"/>
      <c r="B147" s="3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2.75" customHeight="1">
      <c r="A148" s="3" t="n"/>
      <c r="B148" s="3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2.75" customHeight="1">
      <c r="A149" s="3" t="n"/>
      <c r="B149" s="3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2.75" customHeight="1">
      <c r="A150" s="3" t="n"/>
      <c r="B150" s="3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2.75" customHeight="1">
      <c r="A151" s="3" t="n"/>
      <c r="B151" s="3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2.75" customHeight="1">
      <c r="A152" s="3" t="n"/>
      <c r="B152" s="3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2.75" customHeight="1">
      <c r="A153" s="3" t="n"/>
      <c r="B153" s="3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2.75" customHeight="1">
      <c r="A154" s="3" t="n"/>
      <c r="B154" s="3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2.75" customHeight="1">
      <c r="A155" s="3" t="n"/>
      <c r="B155" s="3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2.75" customHeight="1">
      <c r="A156" s="3" t="n"/>
      <c r="B156" s="3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2.75" customHeight="1">
      <c r="A157" s="3" t="n"/>
      <c r="B157" s="3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2.75" customHeight="1">
      <c r="A158" s="3" t="n"/>
      <c r="B158" s="3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2.75" customHeight="1">
      <c r="A159" s="3" t="n"/>
      <c r="B159" s="3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2.75" customHeight="1">
      <c r="A160" s="3" t="n"/>
      <c r="B160" s="3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2.75" customHeight="1">
      <c r="A161" s="3" t="n"/>
      <c r="B161" s="3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2.75" customHeight="1">
      <c r="A162" s="3" t="n"/>
      <c r="B162" s="3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2.75" customHeight="1">
      <c r="A163" s="3" t="n"/>
      <c r="B163" s="3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2.75" customHeight="1">
      <c r="A164" s="3" t="n"/>
      <c r="B164" s="3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2.75" customHeight="1">
      <c r="A165" s="3" t="n"/>
      <c r="B165" s="3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2.75" customHeight="1">
      <c r="A166" s="3" t="n"/>
      <c r="B166" s="3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2.75" customHeight="1">
      <c r="A167" s="3" t="n"/>
      <c r="B167" s="3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2.75" customHeight="1">
      <c r="A168" s="3" t="n"/>
      <c r="B168" s="3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2.75" customHeight="1">
      <c r="A169" s="3" t="n"/>
      <c r="B169" s="3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2.75" customHeight="1">
      <c r="A170" s="3" t="n"/>
      <c r="B170" s="3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2.75" customHeight="1">
      <c r="A171" s="3" t="n"/>
      <c r="B171" s="3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2.75" customHeight="1">
      <c r="A172" s="3" t="n"/>
      <c r="B172" s="3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2.75" customHeight="1">
      <c r="A173" s="3" t="n"/>
      <c r="B173" s="3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2.75" customHeight="1">
      <c r="A174" s="3" t="n"/>
      <c r="B174" s="3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2.75" customHeight="1">
      <c r="A175" s="3" t="n"/>
      <c r="B175" s="3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2.75" customHeight="1">
      <c r="A176" s="3" t="n"/>
      <c r="B176" s="3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2.75" customHeight="1">
      <c r="A177" s="3" t="n"/>
      <c r="B177" s="3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2.75" customHeight="1">
      <c r="A178" s="3" t="n"/>
      <c r="B178" s="3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2.75" customHeight="1">
      <c r="A179" s="3" t="n"/>
      <c r="B179" s="3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2.75" customHeight="1">
      <c r="A180" s="3" t="n"/>
      <c r="B180" s="3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2.75" customHeight="1">
      <c r="A181" s="3" t="n"/>
      <c r="B181" s="3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2.75" customHeight="1">
      <c r="A182" s="3" t="n"/>
      <c r="B182" s="3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2.75" customHeight="1">
      <c r="A183" s="3" t="n"/>
      <c r="B183" s="3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2.75" customHeight="1">
      <c r="A184" s="3" t="n"/>
      <c r="B184" s="3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2.75" customHeight="1">
      <c r="A185" s="3" t="n"/>
      <c r="B185" s="3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2.75" customHeight="1">
      <c r="A186" s="3" t="n"/>
      <c r="B186" s="3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2.75" customHeight="1">
      <c r="A187" s="3" t="n"/>
      <c r="B187" s="3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2.75" customHeight="1">
      <c r="A188" s="3" t="n"/>
      <c r="B188" s="3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2.75" customHeight="1">
      <c r="A189" s="3" t="n"/>
      <c r="B189" s="3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2.75" customHeight="1">
      <c r="A190" s="3" t="n"/>
      <c r="B190" s="3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2.75" customHeight="1">
      <c r="A191" s="3" t="n"/>
      <c r="B191" s="3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2.75" customHeight="1">
      <c r="A192" s="3" t="n"/>
      <c r="B192" s="3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2.75" customHeight="1">
      <c r="A193" s="3" t="n"/>
      <c r="B193" s="3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2.75" customHeight="1">
      <c r="A194" s="3" t="n"/>
      <c r="B194" s="3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2.75" customHeight="1">
      <c r="A195" s="3" t="n"/>
      <c r="B195" s="3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2.75" customHeight="1">
      <c r="A196" s="3" t="n"/>
      <c r="B196" s="3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2.75" customHeight="1">
      <c r="A197" s="3" t="n"/>
      <c r="B197" s="3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2.75" customHeight="1">
      <c r="A198" s="3" t="n"/>
      <c r="B198" s="3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2.75" customHeight="1">
      <c r="A199" s="3" t="n"/>
      <c r="B199" s="3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2.75" customHeight="1">
      <c r="A200" s="3" t="n"/>
      <c r="B200" s="3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2.75" customHeight="1">
      <c r="A201" s="3" t="n"/>
      <c r="B201" s="3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2.75" customHeight="1">
      <c r="A202" s="3" t="n"/>
      <c r="B202" s="3" t="n"/>
      <c r="C202" s="1" t="n"/>
      <c r="D202" s="1" t="n"/>
      <c r="E202" s="1" t="n"/>
      <c r="F202" s="1" t="n"/>
      <c r="G202" s="1" t="n"/>
      <c r="H202" s="1" t="n"/>
      <c r="I202" s="1" t="n"/>
      <c r="J202" s="1" t="n"/>
      <c r="K202" s="1" t="n"/>
      <c r="L202" s="1" t="n"/>
      <c r="M202" s="1" t="n"/>
      <c r="N202" s="1" t="n"/>
      <c r="O202" s="1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2.75" customHeight="1">
      <c r="A203" s="3" t="n"/>
      <c r="B203" s="3" t="n"/>
      <c r="C203" s="1" t="n"/>
      <c r="D203" s="1" t="n"/>
      <c r="E203" s="1" t="n"/>
      <c r="F203" s="1" t="n"/>
      <c r="G203" s="1" t="n"/>
      <c r="H203" s="1" t="n"/>
      <c r="I203" s="1" t="n"/>
      <c r="J203" s="1" t="n"/>
      <c r="K203" s="1" t="n"/>
      <c r="L203" s="1" t="n"/>
      <c r="M203" s="1" t="n"/>
      <c r="N203" s="1" t="n"/>
      <c r="O203" s="1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2.75" customHeight="1">
      <c r="A204" s="3" t="n"/>
      <c r="B204" s="3" t="n"/>
      <c r="C204" s="1" t="n"/>
      <c r="D204" s="1" t="n"/>
      <c r="E204" s="1" t="n"/>
      <c r="F204" s="1" t="n"/>
      <c r="G204" s="1" t="n"/>
      <c r="H204" s="1" t="n"/>
      <c r="I204" s="1" t="n"/>
      <c r="J204" s="1" t="n"/>
      <c r="K204" s="1" t="n"/>
      <c r="L204" s="1" t="n"/>
      <c r="M204" s="1" t="n"/>
      <c r="N204" s="1" t="n"/>
      <c r="O204" s="1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2.75" customHeight="1">
      <c r="A205" s="3" t="n"/>
      <c r="B205" s="3" t="n"/>
      <c r="C205" s="1" t="n"/>
      <c r="D205" s="1" t="n"/>
      <c r="E205" s="1" t="n"/>
      <c r="F205" s="1" t="n"/>
      <c r="G205" s="1" t="n"/>
      <c r="H205" s="1" t="n"/>
      <c r="I205" s="1" t="n"/>
      <c r="J205" s="1" t="n"/>
      <c r="K205" s="1" t="n"/>
      <c r="L205" s="1" t="n"/>
      <c r="M205" s="1" t="n"/>
      <c r="N205" s="1" t="n"/>
      <c r="O205" s="1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2.75" customHeight="1">
      <c r="A206" s="3" t="n"/>
      <c r="B206" s="3" t="n"/>
      <c r="C206" s="1" t="n"/>
      <c r="D206" s="1" t="n"/>
      <c r="E206" s="1" t="n"/>
      <c r="F206" s="1" t="n"/>
      <c r="G206" s="1" t="n"/>
      <c r="H206" s="1" t="n"/>
      <c r="I206" s="1" t="n"/>
      <c r="J206" s="1" t="n"/>
      <c r="K206" s="1" t="n"/>
      <c r="L206" s="1" t="n"/>
      <c r="M206" s="1" t="n"/>
      <c r="N206" s="1" t="n"/>
      <c r="O206" s="1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2.75" customHeight="1">
      <c r="A207" s="3" t="n"/>
      <c r="B207" s="3" t="n"/>
      <c r="C207" s="1" t="n"/>
      <c r="D207" s="1" t="n"/>
      <c r="E207" s="1" t="n"/>
      <c r="F207" s="1" t="n"/>
      <c r="G207" s="1" t="n"/>
      <c r="H207" s="1" t="n"/>
      <c r="I207" s="1" t="n"/>
      <c r="J207" s="1" t="n"/>
      <c r="K207" s="1" t="n"/>
      <c r="L207" s="1" t="n"/>
      <c r="M207" s="1" t="n"/>
      <c r="N207" s="1" t="n"/>
      <c r="O207" s="1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2.75" customHeight="1">
      <c r="A208" s="3" t="n"/>
      <c r="B208" s="3" t="n"/>
      <c r="C208" s="1" t="n"/>
      <c r="D208" s="1" t="n"/>
      <c r="E208" s="1" t="n"/>
      <c r="F208" s="1" t="n"/>
      <c r="G208" s="1" t="n"/>
      <c r="H208" s="1" t="n"/>
      <c r="I208" s="1" t="n"/>
      <c r="J208" s="1" t="n"/>
      <c r="K208" s="1" t="n"/>
      <c r="L208" s="1" t="n"/>
      <c r="M208" s="1" t="n"/>
      <c r="N208" s="1" t="n"/>
      <c r="O208" s="1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2.75" customHeight="1">
      <c r="A209" s="3" t="n"/>
      <c r="B209" s="3" t="n"/>
      <c r="C209" s="1" t="n"/>
      <c r="D209" s="1" t="n"/>
      <c r="E209" s="1" t="n"/>
      <c r="F209" s="1" t="n"/>
      <c r="G209" s="1" t="n"/>
      <c r="H209" s="1" t="n"/>
      <c r="I209" s="1" t="n"/>
      <c r="J209" s="1" t="n"/>
      <c r="K209" s="1" t="n"/>
      <c r="L209" s="1" t="n"/>
      <c r="M209" s="1" t="n"/>
      <c r="N209" s="1" t="n"/>
      <c r="O209" s="1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2.75" customHeight="1">
      <c r="A210" s="3" t="n"/>
      <c r="B210" s="3" t="n"/>
      <c r="C210" s="1" t="n"/>
      <c r="D210" s="1" t="n"/>
      <c r="E210" s="1" t="n"/>
      <c r="F210" s="1" t="n"/>
      <c r="G210" s="1" t="n"/>
      <c r="H210" s="1" t="n"/>
      <c r="I210" s="1" t="n"/>
      <c r="J210" s="1" t="n"/>
      <c r="K210" s="1" t="n"/>
      <c r="L210" s="1" t="n"/>
      <c r="M210" s="1" t="n"/>
      <c r="N210" s="1" t="n"/>
      <c r="O210" s="1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2.75" customHeight="1">
      <c r="A211" s="3" t="n"/>
      <c r="B211" s="3" t="n"/>
      <c r="C211" s="1" t="n"/>
      <c r="D211" s="1" t="n"/>
      <c r="E211" s="1" t="n"/>
      <c r="F211" s="1" t="n"/>
      <c r="G211" s="1" t="n"/>
      <c r="H211" s="1" t="n"/>
      <c r="I211" s="1" t="n"/>
      <c r="J211" s="1" t="n"/>
      <c r="K211" s="1" t="n"/>
      <c r="L211" s="1" t="n"/>
      <c r="M211" s="1" t="n"/>
      <c r="N211" s="1" t="n"/>
      <c r="O211" s="1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2.75" customHeight="1">
      <c r="A212" s="3" t="n"/>
      <c r="B212" s="3" t="n"/>
      <c r="C212" s="1" t="n"/>
      <c r="D212" s="1" t="n"/>
      <c r="E212" s="1" t="n"/>
      <c r="F212" s="1" t="n"/>
      <c r="G212" s="1" t="n"/>
      <c r="H212" s="1" t="n"/>
      <c r="I212" s="1" t="n"/>
      <c r="J212" s="1" t="n"/>
      <c r="K212" s="1" t="n"/>
      <c r="L212" s="1" t="n"/>
      <c r="M212" s="1" t="n"/>
      <c r="N212" s="1" t="n"/>
      <c r="O212" s="1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2.75" customHeight="1">
      <c r="A213" s="3" t="n"/>
      <c r="B213" s="3" t="n"/>
      <c r="C213" s="1" t="n"/>
      <c r="D213" s="1" t="n"/>
      <c r="E213" s="1" t="n"/>
      <c r="F213" s="1" t="n"/>
      <c r="G213" s="1" t="n"/>
      <c r="H213" s="1" t="n"/>
      <c r="I213" s="1" t="n"/>
      <c r="J213" s="1" t="n"/>
      <c r="K213" s="1" t="n"/>
      <c r="L213" s="1" t="n"/>
      <c r="M213" s="1" t="n"/>
      <c r="N213" s="1" t="n"/>
      <c r="O213" s="1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2.75" customHeight="1">
      <c r="A214" s="3" t="n"/>
      <c r="B214" s="3" t="n"/>
      <c r="C214" s="1" t="n"/>
      <c r="D214" s="1" t="n"/>
      <c r="E214" s="1" t="n"/>
      <c r="F214" s="1" t="n"/>
      <c r="G214" s="1" t="n"/>
      <c r="H214" s="1" t="n"/>
      <c r="I214" s="1" t="n"/>
      <c r="J214" s="1" t="n"/>
      <c r="K214" s="1" t="n"/>
      <c r="L214" s="1" t="n"/>
      <c r="M214" s="1" t="n"/>
      <c r="N214" s="1" t="n"/>
      <c r="O214" s="1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2.75" customHeight="1">
      <c r="A215" s="3" t="n"/>
      <c r="B215" s="3" t="n"/>
      <c r="C215" s="1" t="n"/>
      <c r="D215" s="1" t="n"/>
      <c r="E215" s="1" t="n"/>
      <c r="F215" s="1" t="n"/>
      <c r="G215" s="1" t="n"/>
      <c r="H215" s="1" t="n"/>
      <c r="I215" s="1" t="n"/>
      <c r="J215" s="1" t="n"/>
      <c r="K215" s="1" t="n"/>
      <c r="L215" s="1" t="n"/>
      <c r="M215" s="1" t="n"/>
      <c r="N215" s="1" t="n"/>
      <c r="O215" s="1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2.75" customHeight="1">
      <c r="A216" s="3" t="n"/>
      <c r="B216" s="3" t="n"/>
      <c r="C216" s="1" t="n"/>
      <c r="D216" s="1" t="n"/>
      <c r="E216" s="1" t="n"/>
      <c r="F216" s="1" t="n"/>
      <c r="G216" s="1" t="n"/>
      <c r="H216" s="1" t="n"/>
      <c r="I216" s="1" t="n"/>
      <c r="J216" s="1" t="n"/>
      <c r="K216" s="1" t="n"/>
      <c r="L216" s="1" t="n"/>
      <c r="M216" s="1" t="n"/>
      <c r="N216" s="1" t="n"/>
      <c r="O216" s="1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2.75" customHeight="1">
      <c r="A217" s="3" t="n"/>
      <c r="B217" s="3" t="n"/>
      <c r="C217" s="1" t="n"/>
      <c r="D217" s="1" t="n"/>
      <c r="E217" s="1" t="n"/>
      <c r="F217" s="1" t="n"/>
      <c r="G217" s="1" t="n"/>
      <c r="H217" s="1" t="n"/>
      <c r="I217" s="1" t="n"/>
      <c r="J217" s="1" t="n"/>
      <c r="K217" s="1" t="n"/>
      <c r="L217" s="1" t="n"/>
      <c r="M217" s="1" t="n"/>
      <c r="N217" s="1" t="n"/>
      <c r="O217" s="1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2.75" customHeight="1">
      <c r="A218" s="3" t="n"/>
      <c r="B218" s="3" t="n"/>
      <c r="C218" s="1" t="n"/>
      <c r="D218" s="1" t="n"/>
      <c r="E218" s="1" t="n"/>
      <c r="F218" s="1" t="n"/>
      <c r="G218" s="1" t="n"/>
      <c r="H218" s="1" t="n"/>
      <c r="I218" s="1" t="n"/>
      <c r="J218" s="1" t="n"/>
      <c r="K218" s="1" t="n"/>
      <c r="L218" s="1" t="n"/>
      <c r="M218" s="1" t="n"/>
      <c r="N218" s="1" t="n"/>
      <c r="O218" s="1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2.75" customHeight="1">
      <c r="A219" s="3" t="n"/>
      <c r="B219" s="3" t="n"/>
      <c r="C219" s="1" t="n"/>
      <c r="D219" s="1" t="n"/>
      <c r="E219" s="1" t="n"/>
      <c r="F219" s="1" t="n"/>
      <c r="G219" s="1" t="n"/>
      <c r="H219" s="1" t="n"/>
      <c r="I219" s="1" t="n"/>
      <c r="J219" s="1" t="n"/>
      <c r="K219" s="1" t="n"/>
      <c r="L219" s="1" t="n"/>
      <c r="M219" s="1" t="n"/>
      <c r="N219" s="1" t="n"/>
      <c r="O219" s="1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2.75" customHeight="1">
      <c r="A220" s="3" t="n"/>
      <c r="B220" s="3" t="n"/>
      <c r="C220" s="1" t="n"/>
      <c r="D220" s="1" t="n"/>
      <c r="E220" s="1" t="n"/>
      <c r="F220" s="1" t="n"/>
      <c r="G220" s="1" t="n"/>
      <c r="H220" s="1" t="n"/>
      <c r="I220" s="1" t="n"/>
      <c r="J220" s="1" t="n"/>
      <c r="K220" s="1" t="n"/>
      <c r="L220" s="1" t="n"/>
      <c r="M220" s="1" t="n"/>
      <c r="N220" s="1" t="n"/>
      <c r="O220" s="1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2.75" customHeight="1">
      <c r="A221" s="3" t="n"/>
      <c r="B221" s="3" t="n"/>
      <c r="C221" s="1" t="n"/>
      <c r="D221" s="1" t="n"/>
      <c r="E221" s="1" t="n"/>
      <c r="F221" s="1" t="n"/>
      <c r="G221" s="1" t="n"/>
      <c r="H221" s="1" t="n"/>
      <c r="I221" s="1" t="n"/>
      <c r="J221" s="1" t="n"/>
      <c r="K221" s="1" t="n"/>
      <c r="L221" s="1" t="n"/>
      <c r="M221" s="1" t="n"/>
      <c r="N221" s="1" t="n"/>
      <c r="O221" s="1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2.75" customHeight="1">
      <c r="A222" s="3" t="n"/>
      <c r="B222" s="3" t="n"/>
      <c r="C222" s="1" t="n"/>
      <c r="D222" s="1" t="n"/>
      <c r="E222" s="1" t="n"/>
      <c r="F222" s="1" t="n"/>
      <c r="G222" s="1" t="n"/>
      <c r="H222" s="1" t="n"/>
      <c r="I222" s="1" t="n"/>
      <c r="J222" s="1" t="n"/>
      <c r="K222" s="1" t="n"/>
      <c r="L222" s="1" t="n"/>
      <c r="M222" s="1" t="n"/>
      <c r="N222" s="1" t="n"/>
      <c r="O222" s="1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2.75" customHeight="1">
      <c r="A223" s="3" t="n"/>
      <c r="B223" s="3" t="n"/>
      <c r="C223" s="1" t="n"/>
      <c r="D223" s="1" t="n"/>
      <c r="E223" s="1" t="n"/>
      <c r="F223" s="1" t="n"/>
      <c r="G223" s="1" t="n"/>
      <c r="H223" s="1" t="n"/>
      <c r="I223" s="1" t="n"/>
      <c r="J223" s="1" t="n"/>
      <c r="K223" s="1" t="n"/>
      <c r="L223" s="1" t="n"/>
      <c r="M223" s="1" t="n"/>
      <c r="N223" s="1" t="n"/>
      <c r="O223" s="1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2.75" customHeight="1">
      <c r="A224" s="3" t="n"/>
      <c r="B224" s="3" t="n"/>
      <c r="C224" s="1" t="n"/>
      <c r="D224" s="1" t="n"/>
      <c r="E224" s="1" t="n"/>
      <c r="F224" s="1" t="n"/>
      <c r="G224" s="1" t="n"/>
      <c r="H224" s="1" t="n"/>
      <c r="I224" s="1" t="n"/>
      <c r="J224" s="1" t="n"/>
      <c r="K224" s="1" t="n"/>
      <c r="L224" s="1" t="n"/>
      <c r="M224" s="1" t="n"/>
      <c r="N224" s="1" t="n"/>
      <c r="O224" s="1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2.75" customHeight="1">
      <c r="A225" s="3" t="n"/>
      <c r="B225" s="3" t="n"/>
      <c r="C225" s="1" t="n"/>
      <c r="D225" s="1" t="n"/>
      <c r="E225" s="1" t="n"/>
      <c r="F225" s="1" t="n"/>
      <c r="G225" s="1" t="n"/>
      <c r="H225" s="1" t="n"/>
      <c r="I225" s="1" t="n"/>
      <c r="J225" s="1" t="n"/>
      <c r="K225" s="1" t="n"/>
      <c r="L225" s="1" t="n"/>
      <c r="M225" s="1" t="n"/>
      <c r="N225" s="1" t="n"/>
      <c r="O225" s="1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2.75" customHeight="1">
      <c r="A226" s="34" t="n"/>
      <c r="B226" s="34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2.75" customHeight="1">
      <c r="A227" s="34" t="n"/>
      <c r="B227" s="34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2.75" customHeight="1">
      <c r="A228" s="34" t="n"/>
      <c r="B228" s="34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2.75" customHeight="1">
      <c r="A229" s="34" t="n"/>
      <c r="B229" s="34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2.75" customHeight="1">
      <c r="A230" s="34" t="n"/>
      <c r="B230" s="34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2.75" customHeight="1">
      <c r="A231" s="34" t="n"/>
      <c r="B231" s="34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2.75" customHeight="1">
      <c r="A232" s="34" t="n"/>
      <c r="B232" s="34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2.75" customHeight="1">
      <c r="A233" s="34" t="n"/>
      <c r="B233" s="34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2.75" customHeight="1">
      <c r="A234" s="34" t="n"/>
      <c r="B234" s="34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2.75" customHeight="1">
      <c r="A235" s="34" t="n"/>
      <c r="B235" s="34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2.75" customHeight="1">
      <c r="A236" s="34" t="n"/>
      <c r="B236" s="34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2.75" customHeight="1">
      <c r="A237" s="34" t="n"/>
      <c r="B237" s="34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2.75" customHeight="1">
      <c r="A238" s="34" t="n"/>
      <c r="B238" s="34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2.75" customHeight="1">
      <c r="A239" s="34" t="n"/>
      <c r="B239" s="34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2.75" customHeight="1">
      <c r="A240" s="34" t="n"/>
      <c r="B240" s="34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2.75" customHeight="1">
      <c r="A241" s="34" t="n"/>
      <c r="B241" s="34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2.75" customHeight="1">
      <c r="A242" s="34" t="n"/>
      <c r="B242" s="34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2.75" customHeight="1">
      <c r="A243" s="34" t="n"/>
      <c r="B243" s="34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2.75" customHeight="1">
      <c r="A244" s="34" t="n"/>
      <c r="B244" s="34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2.75" customHeight="1">
      <c r="A245" s="34" t="n"/>
      <c r="B245" s="34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2.75" customHeight="1">
      <c r="A246" s="34" t="n"/>
      <c r="B246" s="34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2.75" customHeight="1">
      <c r="A247" s="34" t="n"/>
      <c r="B247" s="34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2.75" customHeight="1">
      <c r="A248" s="34" t="n"/>
      <c r="B248" s="34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2.75" customHeight="1">
      <c r="A249" s="34" t="n"/>
      <c r="B249" s="34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2.75" customHeight="1">
      <c r="A250" s="34" t="n"/>
      <c r="B250" s="34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2.75" customHeight="1">
      <c r="A251" s="34" t="n"/>
      <c r="B251" s="34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2.75" customHeight="1">
      <c r="A252" s="34" t="n"/>
      <c r="B252" s="34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2.75" customHeight="1">
      <c r="A253" s="34" t="n"/>
      <c r="B253" s="34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2.75" customHeight="1">
      <c r="A254" s="34" t="n"/>
      <c r="B254" s="34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2.75" customHeight="1">
      <c r="A255" s="34" t="n"/>
      <c r="B255" s="34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2.75" customHeight="1">
      <c r="A256" s="34" t="n"/>
      <c r="B256" s="34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2.75" customHeight="1">
      <c r="A257" s="34" t="n"/>
      <c r="B257" s="34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2.75" customHeight="1">
      <c r="A258" s="34" t="n"/>
      <c r="B258" s="34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2.75" customHeight="1">
      <c r="A259" s="34" t="n"/>
      <c r="B259" s="34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2.75" customHeight="1">
      <c r="A260" s="34" t="n"/>
      <c r="B260" s="34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2.75" customHeight="1">
      <c r="A261" s="34" t="n"/>
      <c r="B261" s="34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2.75" customHeight="1">
      <c r="A262" s="34" t="n"/>
      <c r="B262" s="34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2.75" customHeight="1">
      <c r="A263" s="34" t="n"/>
      <c r="B263" s="34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2.75" customHeight="1">
      <c r="A264" s="34" t="n"/>
      <c r="B264" s="34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2.75" customHeight="1">
      <c r="A265" s="34" t="n"/>
      <c r="B265" s="34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2.75" customHeight="1">
      <c r="A266" s="34" t="n"/>
      <c r="B266" s="34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2.75" customHeight="1">
      <c r="A267" s="34" t="n"/>
      <c r="B267" s="34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2.75" customHeight="1">
      <c r="A268" s="34" t="n"/>
      <c r="B268" s="34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2.75" customHeight="1">
      <c r="A269" s="34" t="n"/>
      <c r="B269" s="34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2.75" customHeight="1">
      <c r="A270" s="34" t="n"/>
      <c r="B270" s="34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2.75" customHeight="1">
      <c r="A271" s="34" t="n"/>
      <c r="B271" s="34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2.75" customHeight="1">
      <c r="A272" s="34" t="n"/>
      <c r="B272" s="34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2.75" customHeight="1">
      <c r="A273" s="34" t="n"/>
      <c r="B273" s="34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2.75" customHeight="1">
      <c r="A274" s="34" t="n"/>
      <c r="B274" s="34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2.75" customHeight="1">
      <c r="A275" s="34" t="n"/>
      <c r="B275" s="34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2.75" customHeight="1">
      <c r="A276" s="34" t="n"/>
      <c r="B276" s="34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2.75" customHeight="1">
      <c r="A277" s="34" t="n"/>
      <c r="B277" s="34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2.75" customHeight="1">
      <c r="A278" s="34" t="n"/>
      <c r="B278" s="34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2.75" customHeight="1">
      <c r="A279" s="34" t="n"/>
      <c r="B279" s="34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2.75" customHeight="1">
      <c r="A280" s="34" t="n"/>
      <c r="B280" s="34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2.75" customHeight="1">
      <c r="A281" s="34" t="n"/>
      <c r="B281" s="34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2.75" customHeight="1">
      <c r="A282" s="34" t="n"/>
      <c r="B282" s="34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2.75" customHeight="1">
      <c r="A283" s="34" t="n"/>
      <c r="B283" s="34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2.75" customHeight="1">
      <c r="A284" s="34" t="n"/>
      <c r="B284" s="34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2.75" customHeight="1">
      <c r="A285" s="34" t="n"/>
      <c r="B285" s="34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2.75" customHeight="1">
      <c r="A286" s="34" t="n"/>
      <c r="B286" s="34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2.75" customHeight="1">
      <c r="A287" s="34" t="n"/>
      <c r="B287" s="34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2.75" customHeight="1">
      <c r="A288" s="34" t="n"/>
      <c r="B288" s="34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2.75" customHeight="1">
      <c r="A289" s="34" t="n"/>
      <c r="B289" s="34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2.75" customHeight="1">
      <c r="A290" s="34" t="n"/>
      <c r="B290" s="34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2.75" customHeight="1">
      <c r="A291" s="34" t="n"/>
      <c r="B291" s="34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2.75" customHeight="1">
      <c r="A292" s="34" t="n"/>
      <c r="B292" s="34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2.75" customHeight="1">
      <c r="A293" s="34" t="n"/>
      <c r="B293" s="34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2.75" customHeight="1">
      <c r="A294" s="34" t="n"/>
      <c r="B294" s="34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2.75" customHeight="1">
      <c r="A295" s="34" t="n"/>
      <c r="B295" s="34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2.75" customHeight="1">
      <c r="A296" s="34" t="n"/>
      <c r="B296" s="34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2.75" customHeight="1">
      <c r="A297" s="34" t="n"/>
      <c r="B297" s="34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2.75" customHeight="1">
      <c r="A298" s="34" t="n"/>
      <c r="B298" s="34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2.75" customHeight="1">
      <c r="A299" s="34" t="n"/>
      <c r="B299" s="34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2.75" customHeight="1">
      <c r="A300" s="34" t="n"/>
      <c r="B300" s="34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2.75" customHeight="1">
      <c r="A301" s="34" t="n"/>
      <c r="B301" s="34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2.75" customHeight="1">
      <c r="A302" s="34" t="n"/>
      <c r="B302" s="34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2.75" customHeight="1">
      <c r="A303" s="34" t="n"/>
      <c r="B303" s="34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2.75" customHeight="1">
      <c r="A304" s="34" t="n"/>
      <c r="B304" s="34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2.75" customHeight="1">
      <c r="A305" s="34" t="n"/>
      <c r="B305" s="34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2.75" customHeight="1">
      <c r="A306" s="34" t="n"/>
      <c r="B306" s="34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2.75" customHeight="1">
      <c r="A307" s="34" t="n"/>
      <c r="B307" s="34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2.75" customHeight="1">
      <c r="A308" s="34" t="n"/>
      <c r="B308" s="34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2.75" customHeight="1">
      <c r="A309" s="34" t="n"/>
      <c r="B309" s="34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2.75" customHeight="1">
      <c r="A310" s="34" t="n"/>
      <c r="B310" s="34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2.75" customHeight="1">
      <c r="A311" s="34" t="n"/>
      <c r="B311" s="34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2.75" customHeight="1">
      <c r="A312" s="34" t="n"/>
      <c r="B312" s="34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2.75" customHeight="1">
      <c r="A313" s="34" t="n"/>
      <c r="B313" s="34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2.75" customHeight="1">
      <c r="A314" s="34" t="n"/>
      <c r="B314" s="34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2.75" customHeight="1">
      <c r="A315" s="34" t="n"/>
      <c r="B315" s="34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2.75" customHeight="1">
      <c r="A316" s="34" t="n"/>
      <c r="B316" s="34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2.75" customHeight="1">
      <c r="A317" s="34" t="n"/>
      <c r="B317" s="34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2.75" customHeight="1">
      <c r="A318" s="34" t="n"/>
      <c r="B318" s="34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2.75" customHeight="1">
      <c r="A319" s="34" t="n"/>
      <c r="B319" s="34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2.75" customHeight="1">
      <c r="A320" s="34" t="n"/>
      <c r="B320" s="34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2.75" customHeight="1">
      <c r="A321" s="34" t="n"/>
      <c r="B321" s="34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2.75" customHeight="1">
      <c r="A322" s="34" t="n"/>
      <c r="B322" s="34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2.75" customHeight="1">
      <c r="A323" s="34" t="n"/>
      <c r="B323" s="34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2.75" customHeight="1">
      <c r="A324" s="34" t="n"/>
      <c r="B324" s="34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2.75" customHeight="1">
      <c r="A325" s="34" t="n"/>
      <c r="B325" s="34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2.75" customHeight="1">
      <c r="A326" s="34" t="n"/>
      <c r="B326" s="34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2.75" customHeight="1">
      <c r="A327" s="34" t="n"/>
      <c r="B327" s="34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2.75" customHeight="1">
      <c r="A328" s="34" t="n"/>
      <c r="B328" s="34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2.75" customHeight="1">
      <c r="A329" s="34" t="n"/>
      <c r="B329" s="34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2.75" customHeight="1">
      <c r="A330" s="34" t="n"/>
      <c r="B330" s="34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2.75" customHeight="1">
      <c r="A331" s="34" t="n"/>
      <c r="B331" s="34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2.75" customHeight="1">
      <c r="A332" s="34" t="n"/>
      <c r="B332" s="34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2.75" customHeight="1">
      <c r="A333" s="34" t="n"/>
      <c r="B333" s="34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2.75" customHeight="1">
      <c r="A334" s="34" t="n"/>
      <c r="B334" s="34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2.75" customHeight="1">
      <c r="A335" s="34" t="n"/>
      <c r="B335" s="34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2.75" customHeight="1">
      <c r="A336" s="34" t="n"/>
      <c r="B336" s="34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2.75" customHeight="1">
      <c r="A337" s="34" t="n"/>
      <c r="B337" s="34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2.75" customHeight="1">
      <c r="A338" s="34" t="n"/>
      <c r="B338" s="34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2.75" customHeight="1">
      <c r="A339" s="34" t="n"/>
      <c r="B339" s="34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2.75" customHeight="1">
      <c r="A340" s="34" t="n"/>
      <c r="B340" s="34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2.75" customHeight="1">
      <c r="A341" s="34" t="n"/>
      <c r="B341" s="34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2.75" customHeight="1">
      <c r="A342" s="34" t="n"/>
      <c r="B342" s="34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2.75" customHeight="1">
      <c r="A343" s="34" t="n"/>
      <c r="B343" s="34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2.75" customHeight="1">
      <c r="A344" s="34" t="n"/>
      <c r="B344" s="34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2.75" customHeight="1">
      <c r="A345" s="34" t="n"/>
      <c r="B345" s="34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2.75" customHeight="1">
      <c r="A346" s="34" t="n"/>
      <c r="B346" s="34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2.75" customHeight="1">
      <c r="A347" s="34" t="n"/>
      <c r="B347" s="34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2.75" customHeight="1">
      <c r="A348" s="34" t="n"/>
      <c r="B348" s="34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2.75" customHeight="1">
      <c r="A349" s="34" t="n"/>
      <c r="B349" s="34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2.75" customHeight="1">
      <c r="A350" s="34" t="n"/>
      <c r="B350" s="34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2.75" customHeight="1">
      <c r="A351" s="34" t="n"/>
      <c r="B351" s="34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2.75" customHeight="1">
      <c r="A352" s="34" t="n"/>
      <c r="B352" s="34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2.75" customHeight="1">
      <c r="A353" s="34" t="n"/>
      <c r="B353" s="34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2.75" customHeight="1">
      <c r="A354" s="34" t="n"/>
      <c r="B354" s="34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2.75" customHeight="1">
      <c r="A355" s="34" t="n"/>
      <c r="B355" s="34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2.75" customHeight="1">
      <c r="A356" s="34" t="n"/>
      <c r="B356" s="34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2.75" customHeight="1">
      <c r="A357" s="34" t="n"/>
      <c r="B357" s="34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2.75" customHeight="1">
      <c r="A358" s="34" t="n"/>
      <c r="B358" s="34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2.75" customHeight="1">
      <c r="A359" s="34" t="n"/>
      <c r="B359" s="34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2.75" customHeight="1">
      <c r="A360" s="34" t="n"/>
      <c r="B360" s="34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2.75" customHeight="1">
      <c r="A361" s="34" t="n"/>
      <c r="B361" s="34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2.75" customHeight="1">
      <c r="A362" s="34" t="n"/>
      <c r="B362" s="34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2.75" customHeight="1">
      <c r="A363" s="34" t="n"/>
      <c r="B363" s="34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2.75" customHeight="1">
      <c r="A364" s="34" t="n"/>
      <c r="B364" s="34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2.75" customHeight="1">
      <c r="A365" s="34" t="n"/>
      <c r="B365" s="34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2.75" customHeight="1">
      <c r="A366" s="34" t="n"/>
      <c r="B366" s="34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2.75" customHeight="1">
      <c r="A367" s="34" t="n"/>
      <c r="B367" s="34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2.75" customHeight="1">
      <c r="A368" s="34" t="n"/>
      <c r="B368" s="34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2.75" customHeight="1">
      <c r="A369" s="34" t="n"/>
      <c r="B369" s="34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2.75" customHeight="1">
      <c r="A370" s="34" t="n"/>
      <c r="B370" s="34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2.75" customHeight="1">
      <c r="A371" s="34" t="n"/>
      <c r="B371" s="34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2.75" customHeight="1">
      <c r="A372" s="34" t="n"/>
      <c r="B372" s="34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2.75" customHeight="1">
      <c r="A373" s="34" t="n"/>
      <c r="B373" s="34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2.75" customHeight="1">
      <c r="A374" s="34" t="n"/>
      <c r="B374" s="34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2.75" customHeight="1">
      <c r="A375" s="34" t="n"/>
      <c r="B375" s="34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2.75" customHeight="1">
      <c r="A376" s="34" t="n"/>
      <c r="B376" s="34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2.75" customHeight="1">
      <c r="A377" s="34" t="n"/>
      <c r="B377" s="34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2.75" customHeight="1">
      <c r="A378" s="34" t="n"/>
      <c r="B378" s="34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2.75" customHeight="1">
      <c r="A379" s="34" t="n"/>
      <c r="B379" s="34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2.75" customHeight="1">
      <c r="A380" s="34" t="n"/>
      <c r="B380" s="34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2.75" customHeight="1">
      <c r="A381" s="34" t="n"/>
      <c r="B381" s="34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2.75" customHeight="1">
      <c r="A382" s="34" t="n"/>
      <c r="B382" s="34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2.75" customHeight="1">
      <c r="A383" s="34" t="n"/>
      <c r="B383" s="34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2.75" customHeight="1">
      <c r="A384" s="34" t="n"/>
      <c r="B384" s="34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2.75" customHeight="1">
      <c r="A385" s="34" t="n"/>
      <c r="B385" s="34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2.75" customHeight="1">
      <c r="A386" s="34" t="n"/>
      <c r="B386" s="34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2.75" customHeight="1">
      <c r="A387" s="34" t="n"/>
      <c r="B387" s="34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2.75" customHeight="1">
      <c r="A388" s="34" t="n"/>
      <c r="B388" s="34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2.75" customHeight="1">
      <c r="A389" s="34" t="n"/>
      <c r="B389" s="34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2.75" customHeight="1">
      <c r="A390" s="34" t="n"/>
      <c r="B390" s="34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2.75" customHeight="1">
      <c r="A391" s="34" t="n"/>
      <c r="B391" s="34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2.75" customHeight="1">
      <c r="A392" s="34" t="n"/>
      <c r="B392" s="34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2.75" customHeight="1">
      <c r="A393" s="34" t="n"/>
      <c r="B393" s="34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2.75" customHeight="1">
      <c r="A394" s="34" t="n"/>
      <c r="B394" s="34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2.75" customHeight="1">
      <c r="A395" s="34" t="n"/>
      <c r="B395" s="34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2.75" customHeight="1">
      <c r="A396" s="34" t="n"/>
      <c r="B396" s="34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2.75" customHeight="1">
      <c r="A397" s="34" t="n"/>
      <c r="B397" s="34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2.75" customHeight="1">
      <c r="A398" s="34" t="n"/>
      <c r="B398" s="34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2.75" customHeight="1">
      <c r="A399" s="34" t="n"/>
      <c r="B399" s="34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2.75" customHeight="1">
      <c r="A400" s="34" t="n"/>
      <c r="B400" s="34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2.75" customHeight="1">
      <c r="A401" s="34" t="n"/>
      <c r="B401" s="34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2.75" customHeight="1">
      <c r="A402" s="34" t="n"/>
      <c r="B402" s="34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2.75" customHeight="1">
      <c r="A403" s="34" t="n"/>
      <c r="B403" s="34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2.75" customHeight="1">
      <c r="A404" s="34" t="n"/>
      <c r="B404" s="34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2.75" customHeight="1">
      <c r="A405" s="34" t="n"/>
      <c r="B405" s="34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2.75" customHeight="1">
      <c r="A406" s="34" t="n"/>
      <c r="B406" s="34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2.75" customHeight="1">
      <c r="A407" s="34" t="n"/>
      <c r="B407" s="34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2.75" customHeight="1">
      <c r="A408" s="34" t="n"/>
      <c r="B408" s="34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2.75" customHeight="1">
      <c r="A409" s="34" t="n"/>
      <c r="B409" s="34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2.75" customHeight="1">
      <c r="A410" s="34" t="n"/>
      <c r="B410" s="34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2.75" customHeight="1">
      <c r="A411" s="34" t="n"/>
      <c r="B411" s="34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2.75" customHeight="1">
      <c r="A412" s="34" t="n"/>
      <c r="B412" s="34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2.75" customHeight="1">
      <c r="A413" s="34" t="n"/>
      <c r="B413" s="34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2.75" customHeight="1">
      <c r="A414" s="34" t="n"/>
      <c r="B414" s="34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2.75" customHeight="1">
      <c r="A415" s="34" t="n"/>
      <c r="B415" s="34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2.75" customHeight="1">
      <c r="A416" s="34" t="n"/>
      <c r="B416" s="34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2.75" customHeight="1">
      <c r="A417" s="34" t="n"/>
      <c r="B417" s="34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2.75" customHeight="1">
      <c r="A418" s="34" t="n"/>
      <c r="B418" s="34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2.75" customHeight="1">
      <c r="A419" s="34" t="n"/>
      <c r="B419" s="34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2.75" customHeight="1">
      <c r="A420" s="34" t="n"/>
      <c r="B420" s="34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2.75" customHeight="1">
      <c r="A421" s="34" t="n"/>
      <c r="B421" s="34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2.75" customHeight="1">
      <c r="A422" s="34" t="n"/>
      <c r="B422" s="34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2.75" customHeight="1">
      <c r="A423" s="34" t="n"/>
      <c r="B423" s="34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2.75" customHeight="1">
      <c r="A424" s="34" t="n"/>
      <c r="B424" s="34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2.75" customHeight="1">
      <c r="A425" s="34" t="n"/>
      <c r="B425" s="34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2.75" customHeight="1">
      <c r="A426" s="34" t="n"/>
      <c r="B426" s="34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2.75" customHeight="1">
      <c r="A427" s="34" t="n"/>
      <c r="B427" s="34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2.75" customHeight="1">
      <c r="A428" s="34" t="n"/>
      <c r="B428" s="34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2.75" customHeight="1">
      <c r="A429" s="34" t="n"/>
      <c r="B429" s="34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2.75" customHeight="1">
      <c r="A430" s="34" t="n"/>
      <c r="B430" s="34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2.75" customHeight="1">
      <c r="A431" s="34" t="n"/>
      <c r="B431" s="34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2.75" customHeight="1">
      <c r="A432" s="34" t="n"/>
      <c r="B432" s="34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2.75" customHeight="1">
      <c r="A433" s="34" t="n"/>
      <c r="B433" s="34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2.75" customHeight="1">
      <c r="A434" s="34" t="n"/>
      <c r="B434" s="34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2.75" customHeight="1">
      <c r="A435" s="34" t="n"/>
      <c r="B435" s="34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2.75" customHeight="1">
      <c r="A436" s="34" t="n"/>
      <c r="B436" s="34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2.75" customHeight="1">
      <c r="A437" s="34" t="n"/>
      <c r="B437" s="34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2.75" customHeight="1">
      <c r="A438" s="34" t="n"/>
      <c r="B438" s="34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2.75" customHeight="1">
      <c r="A439" s="34" t="n"/>
      <c r="B439" s="34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2.75" customHeight="1">
      <c r="A440" s="34" t="n"/>
      <c r="B440" s="34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2.75" customHeight="1">
      <c r="A441" s="34" t="n"/>
      <c r="B441" s="34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2.75" customHeight="1">
      <c r="A442" s="34" t="n"/>
      <c r="B442" s="34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2.75" customHeight="1">
      <c r="A443" s="34" t="n"/>
      <c r="B443" s="34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2.75" customHeight="1">
      <c r="A444" s="34" t="n"/>
      <c r="B444" s="34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2.75" customHeight="1">
      <c r="A445" s="34" t="n"/>
      <c r="B445" s="34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2.75" customHeight="1">
      <c r="A446" s="34" t="n"/>
      <c r="B446" s="34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2.75" customHeight="1">
      <c r="A447" s="34" t="n"/>
      <c r="B447" s="34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2.75" customHeight="1">
      <c r="A448" s="34" t="n"/>
      <c r="B448" s="34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2.75" customHeight="1">
      <c r="A449" s="34" t="n"/>
      <c r="B449" s="34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2.75" customHeight="1">
      <c r="A450" s="34" t="n"/>
      <c r="B450" s="34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2.75" customHeight="1">
      <c r="A451" s="34" t="n"/>
      <c r="B451" s="34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2.75" customHeight="1">
      <c r="A452" s="34" t="n"/>
      <c r="B452" s="34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2.75" customHeight="1">
      <c r="A453" s="34" t="n"/>
      <c r="B453" s="34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2.75" customHeight="1">
      <c r="A454" s="34" t="n"/>
      <c r="B454" s="34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2.75" customHeight="1">
      <c r="A455" s="34" t="n"/>
      <c r="B455" s="34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2.75" customHeight="1">
      <c r="A456" s="34" t="n"/>
      <c r="B456" s="34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2.75" customHeight="1">
      <c r="A457" s="34" t="n"/>
      <c r="B457" s="34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2.75" customHeight="1">
      <c r="A458" s="34" t="n"/>
      <c r="B458" s="34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2.75" customHeight="1">
      <c r="A459" s="34" t="n"/>
      <c r="B459" s="34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2.75" customHeight="1">
      <c r="A460" s="34" t="n"/>
      <c r="B460" s="34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2.75" customHeight="1">
      <c r="A461" s="34" t="n"/>
      <c r="B461" s="34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2.75" customHeight="1">
      <c r="A462" s="34" t="n"/>
      <c r="B462" s="34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2.75" customHeight="1">
      <c r="A463" s="34" t="n"/>
      <c r="B463" s="34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2.75" customHeight="1">
      <c r="A464" s="34" t="n"/>
      <c r="B464" s="34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2.75" customHeight="1">
      <c r="A465" s="34" t="n"/>
      <c r="B465" s="34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2.75" customHeight="1">
      <c r="A466" s="34" t="n"/>
      <c r="B466" s="34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2.75" customHeight="1">
      <c r="A467" s="34" t="n"/>
      <c r="B467" s="34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2.75" customHeight="1">
      <c r="A468" s="34" t="n"/>
      <c r="B468" s="34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2.75" customHeight="1">
      <c r="A469" s="34" t="n"/>
      <c r="B469" s="34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2.75" customHeight="1">
      <c r="A470" s="34" t="n"/>
      <c r="B470" s="34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2.75" customHeight="1">
      <c r="A471" s="34" t="n"/>
      <c r="B471" s="34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2.75" customHeight="1">
      <c r="A472" s="34" t="n"/>
      <c r="B472" s="34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2.75" customHeight="1">
      <c r="A473" s="34" t="n"/>
      <c r="B473" s="34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2.75" customHeight="1">
      <c r="A474" s="34" t="n"/>
      <c r="B474" s="34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2.75" customHeight="1">
      <c r="A475" s="34" t="n"/>
      <c r="B475" s="34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2.75" customHeight="1">
      <c r="A476" s="34" t="n"/>
      <c r="B476" s="34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2.75" customHeight="1">
      <c r="A477" s="34" t="n"/>
      <c r="B477" s="34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2.75" customHeight="1">
      <c r="A478" s="34" t="n"/>
      <c r="B478" s="34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2.75" customHeight="1">
      <c r="A479" s="34" t="n"/>
      <c r="B479" s="34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2.75" customHeight="1">
      <c r="A480" s="34" t="n"/>
      <c r="B480" s="34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2.75" customHeight="1">
      <c r="A481" s="34" t="n"/>
      <c r="B481" s="34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2.75" customHeight="1">
      <c r="A482" s="34" t="n"/>
      <c r="B482" s="34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2.75" customHeight="1">
      <c r="A483" s="34" t="n"/>
      <c r="B483" s="34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2.75" customHeight="1">
      <c r="A484" s="34" t="n"/>
      <c r="B484" s="34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2.75" customHeight="1">
      <c r="A485" s="34" t="n"/>
      <c r="B485" s="34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2.75" customHeight="1">
      <c r="A486" s="34" t="n"/>
      <c r="B486" s="34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2.75" customHeight="1">
      <c r="A487" s="34" t="n"/>
      <c r="B487" s="34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2.75" customHeight="1">
      <c r="A488" s="34" t="n"/>
      <c r="B488" s="34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2.75" customHeight="1">
      <c r="A489" s="34" t="n"/>
      <c r="B489" s="34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2.75" customHeight="1">
      <c r="A490" s="34" t="n"/>
      <c r="B490" s="34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2.75" customHeight="1">
      <c r="A491" s="34" t="n"/>
      <c r="B491" s="34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2.75" customHeight="1">
      <c r="A492" s="34" t="n"/>
      <c r="B492" s="34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2.75" customHeight="1">
      <c r="A493" s="34" t="n"/>
      <c r="B493" s="34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2.75" customHeight="1">
      <c r="A494" s="34" t="n"/>
      <c r="B494" s="34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2.75" customHeight="1">
      <c r="A495" s="34" t="n"/>
      <c r="B495" s="34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2.75" customHeight="1">
      <c r="A496" s="34" t="n"/>
      <c r="B496" s="34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2.75" customHeight="1">
      <c r="A497" s="34" t="n"/>
      <c r="B497" s="34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2.75" customHeight="1">
      <c r="A498" s="34" t="n"/>
      <c r="B498" s="34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2.75" customHeight="1">
      <c r="A499" s="34" t="n"/>
      <c r="B499" s="34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2.75" customHeight="1">
      <c r="A500" s="34" t="n"/>
      <c r="B500" s="34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2.75" customHeight="1">
      <c r="A501" s="34" t="n"/>
      <c r="B501" s="34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2.75" customHeight="1">
      <c r="A502" s="34" t="n"/>
      <c r="B502" s="34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2.75" customHeight="1">
      <c r="A503" s="34" t="n"/>
      <c r="B503" s="34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2.75" customHeight="1">
      <c r="A504" s="34" t="n"/>
      <c r="B504" s="34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2.75" customHeight="1">
      <c r="A505" s="34" t="n"/>
      <c r="B505" s="34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2.75" customHeight="1">
      <c r="A506" s="34" t="n"/>
      <c r="B506" s="34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2.75" customHeight="1">
      <c r="A507" s="34" t="n"/>
      <c r="B507" s="34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2.75" customHeight="1">
      <c r="A508" s="34" t="n"/>
      <c r="B508" s="34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2.75" customHeight="1">
      <c r="A509" s="34" t="n"/>
      <c r="B509" s="34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2.75" customHeight="1">
      <c r="A510" s="34" t="n"/>
      <c r="B510" s="34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2.75" customHeight="1">
      <c r="A511" s="34" t="n"/>
      <c r="B511" s="34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2.75" customHeight="1">
      <c r="A512" s="34" t="n"/>
      <c r="B512" s="34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2.75" customHeight="1">
      <c r="A513" s="34" t="n"/>
      <c r="B513" s="34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2.75" customHeight="1">
      <c r="A514" s="34" t="n"/>
      <c r="B514" s="34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2.75" customHeight="1">
      <c r="A515" s="34" t="n"/>
      <c r="B515" s="34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2.75" customHeight="1">
      <c r="A516" s="34" t="n"/>
      <c r="B516" s="34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2.75" customHeight="1">
      <c r="A517" s="34" t="n"/>
      <c r="B517" s="34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2.75" customHeight="1">
      <c r="A518" s="34" t="n"/>
      <c r="B518" s="34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2.75" customHeight="1">
      <c r="A519" s="34" t="n"/>
      <c r="B519" s="34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2.75" customHeight="1">
      <c r="A520" s="34" t="n"/>
      <c r="B520" s="34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2.75" customHeight="1">
      <c r="A521" s="34" t="n"/>
      <c r="B521" s="34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2.75" customHeight="1">
      <c r="A522" s="34" t="n"/>
      <c r="B522" s="34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2.75" customHeight="1">
      <c r="A523" s="34" t="n"/>
      <c r="B523" s="34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2.75" customHeight="1">
      <c r="A524" s="34" t="n"/>
      <c r="B524" s="34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2.75" customHeight="1">
      <c r="A525" s="34" t="n"/>
      <c r="B525" s="34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2.75" customHeight="1">
      <c r="A526" s="34" t="n"/>
      <c r="B526" s="34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2.75" customHeight="1">
      <c r="A527" s="34" t="n"/>
      <c r="B527" s="34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2.75" customHeight="1">
      <c r="A528" s="34" t="n"/>
      <c r="B528" s="34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2.75" customHeight="1">
      <c r="A529" s="34" t="n"/>
      <c r="B529" s="34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2.75" customHeight="1">
      <c r="A530" s="34" t="n"/>
      <c r="B530" s="34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2.75" customHeight="1">
      <c r="A531" s="34" t="n"/>
      <c r="B531" s="34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2.75" customHeight="1">
      <c r="A532" s="34" t="n"/>
      <c r="B532" s="34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2.75" customHeight="1">
      <c r="A533" s="34" t="n"/>
      <c r="B533" s="34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2.75" customHeight="1">
      <c r="A534" s="34" t="n"/>
      <c r="B534" s="34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2.75" customHeight="1">
      <c r="A535" s="34" t="n"/>
      <c r="B535" s="34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2.75" customHeight="1">
      <c r="A536" s="34" t="n"/>
      <c r="B536" s="34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2.75" customHeight="1">
      <c r="A537" s="34" t="n"/>
      <c r="B537" s="34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2.75" customHeight="1">
      <c r="A538" s="34" t="n"/>
      <c r="B538" s="34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2.75" customHeight="1">
      <c r="A539" s="34" t="n"/>
      <c r="B539" s="34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2.75" customHeight="1">
      <c r="A540" s="34" t="n"/>
      <c r="B540" s="34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2.75" customHeight="1">
      <c r="A541" s="34" t="n"/>
      <c r="B541" s="34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2.75" customHeight="1">
      <c r="A542" s="34" t="n"/>
      <c r="B542" s="34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2.75" customHeight="1">
      <c r="A543" s="34" t="n"/>
      <c r="B543" s="34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2.75" customHeight="1">
      <c r="A544" s="34" t="n"/>
      <c r="B544" s="34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2.75" customHeight="1">
      <c r="A545" s="34" t="n"/>
      <c r="B545" s="34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2.75" customHeight="1">
      <c r="A546" s="34" t="n"/>
      <c r="B546" s="34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2.75" customHeight="1">
      <c r="A547" s="34" t="n"/>
      <c r="B547" s="34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2.75" customHeight="1">
      <c r="A548" s="34" t="n"/>
      <c r="B548" s="34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2.75" customHeight="1">
      <c r="A549" s="34" t="n"/>
      <c r="B549" s="34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2.75" customHeight="1">
      <c r="A550" s="34" t="n"/>
      <c r="B550" s="34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2.75" customHeight="1">
      <c r="A551" s="34" t="n"/>
      <c r="B551" s="34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2.75" customHeight="1">
      <c r="A552" s="34" t="n"/>
      <c r="B552" s="34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2.75" customHeight="1">
      <c r="A553" s="34" t="n"/>
      <c r="B553" s="34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2.75" customHeight="1">
      <c r="A554" s="34" t="n"/>
      <c r="B554" s="34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2.75" customHeight="1">
      <c r="A555" s="34" t="n"/>
      <c r="B555" s="34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2.75" customHeight="1">
      <c r="A556" s="34" t="n"/>
      <c r="B556" s="34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2.75" customHeight="1">
      <c r="A557" s="34" t="n"/>
      <c r="B557" s="34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2.75" customHeight="1">
      <c r="A558" s="34" t="n"/>
      <c r="B558" s="34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2.75" customHeight="1">
      <c r="A559" s="34" t="n"/>
      <c r="B559" s="34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2.75" customHeight="1">
      <c r="A560" s="34" t="n"/>
      <c r="B560" s="34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2.75" customHeight="1">
      <c r="A561" s="34" t="n"/>
      <c r="B561" s="34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2.75" customHeight="1">
      <c r="A562" s="34" t="n"/>
      <c r="B562" s="34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2.75" customHeight="1">
      <c r="A563" s="34" t="n"/>
      <c r="B563" s="34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2.75" customHeight="1">
      <c r="A564" s="34" t="n"/>
      <c r="B564" s="34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2.75" customHeight="1">
      <c r="A565" s="34" t="n"/>
      <c r="B565" s="34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2.75" customHeight="1">
      <c r="A566" s="34" t="n"/>
      <c r="B566" s="34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2.75" customHeight="1">
      <c r="A567" s="34" t="n"/>
      <c r="B567" s="34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2.75" customHeight="1">
      <c r="A568" s="34" t="n"/>
      <c r="B568" s="34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2.75" customHeight="1">
      <c r="A569" s="34" t="n"/>
      <c r="B569" s="34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2.75" customHeight="1">
      <c r="A570" s="34" t="n"/>
      <c r="B570" s="34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2.75" customHeight="1">
      <c r="A571" s="34" t="n"/>
      <c r="B571" s="34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2.75" customHeight="1">
      <c r="A572" s="34" t="n"/>
      <c r="B572" s="34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2.75" customHeight="1">
      <c r="A573" s="34" t="n"/>
      <c r="B573" s="34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2.75" customHeight="1">
      <c r="A574" s="34" t="n"/>
      <c r="B574" s="34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2.75" customHeight="1">
      <c r="A575" s="34" t="n"/>
      <c r="B575" s="34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2.75" customHeight="1">
      <c r="A576" s="34" t="n"/>
      <c r="B576" s="34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2.75" customHeight="1">
      <c r="A577" s="34" t="n"/>
      <c r="B577" s="34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2.75" customHeight="1">
      <c r="A578" s="34" t="n"/>
      <c r="B578" s="34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2.75" customHeight="1">
      <c r="A579" s="34" t="n"/>
      <c r="B579" s="34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2.75" customHeight="1">
      <c r="A580" s="34" t="n"/>
      <c r="B580" s="34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2.75" customHeight="1">
      <c r="A581" s="34" t="n"/>
      <c r="B581" s="34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2.75" customHeight="1">
      <c r="A582" s="34" t="n"/>
      <c r="B582" s="34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2.75" customHeight="1">
      <c r="A583" s="34" t="n"/>
      <c r="B583" s="34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2.75" customHeight="1">
      <c r="A584" s="34" t="n"/>
      <c r="B584" s="34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2.75" customHeight="1">
      <c r="A585" s="34" t="n"/>
      <c r="B585" s="34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2.75" customHeight="1">
      <c r="A586" s="34" t="n"/>
      <c r="B586" s="34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2.75" customHeight="1">
      <c r="A587" s="34" t="n"/>
      <c r="B587" s="34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2.75" customHeight="1">
      <c r="A588" s="34" t="n"/>
      <c r="B588" s="34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2.75" customHeight="1">
      <c r="A589" s="34" t="n"/>
      <c r="B589" s="34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2.75" customHeight="1">
      <c r="A590" s="34" t="n"/>
      <c r="B590" s="34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2.75" customHeight="1">
      <c r="A591" s="34" t="n"/>
      <c r="B591" s="34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2.75" customHeight="1">
      <c r="A592" s="34" t="n"/>
      <c r="B592" s="34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2.75" customHeight="1">
      <c r="A593" s="34" t="n"/>
      <c r="B593" s="34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2.75" customHeight="1">
      <c r="A594" s="34" t="n"/>
      <c r="B594" s="34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2.75" customHeight="1">
      <c r="A595" s="34" t="n"/>
      <c r="B595" s="34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2.75" customHeight="1">
      <c r="A596" s="34" t="n"/>
      <c r="B596" s="34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2.75" customHeight="1">
      <c r="A597" s="34" t="n"/>
      <c r="B597" s="34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2.75" customHeight="1">
      <c r="A598" s="34" t="n"/>
      <c r="B598" s="34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2.75" customHeight="1">
      <c r="A599" s="34" t="n"/>
      <c r="B599" s="34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2.75" customHeight="1">
      <c r="A600" s="34" t="n"/>
      <c r="B600" s="34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2.75" customHeight="1">
      <c r="A601" s="34" t="n"/>
      <c r="B601" s="34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2.75" customHeight="1">
      <c r="A602" s="34" t="n"/>
      <c r="B602" s="34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2.75" customHeight="1">
      <c r="A603" s="34" t="n"/>
      <c r="B603" s="34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2.75" customHeight="1">
      <c r="A604" s="34" t="n"/>
      <c r="B604" s="34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2.75" customHeight="1">
      <c r="A605" s="34" t="n"/>
      <c r="B605" s="34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2.75" customHeight="1">
      <c r="A606" s="34" t="n"/>
      <c r="B606" s="34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2.75" customHeight="1">
      <c r="A607" s="34" t="n"/>
      <c r="B607" s="34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2.75" customHeight="1">
      <c r="A608" s="34" t="n"/>
      <c r="B608" s="34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2.75" customHeight="1">
      <c r="A609" s="34" t="n"/>
      <c r="B609" s="34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2.75" customHeight="1">
      <c r="A610" s="34" t="n"/>
      <c r="B610" s="34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2.75" customHeight="1">
      <c r="A611" s="34" t="n"/>
      <c r="B611" s="34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2.75" customHeight="1">
      <c r="A612" s="34" t="n"/>
      <c r="B612" s="34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2.75" customHeight="1">
      <c r="A613" s="34" t="n"/>
      <c r="B613" s="34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2.75" customHeight="1">
      <c r="A614" s="34" t="n"/>
      <c r="B614" s="34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2.75" customHeight="1">
      <c r="A615" s="34" t="n"/>
      <c r="B615" s="34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2.75" customHeight="1">
      <c r="A616" s="34" t="n"/>
      <c r="B616" s="34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2.75" customHeight="1">
      <c r="A617" s="34" t="n"/>
      <c r="B617" s="34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2.75" customHeight="1">
      <c r="A618" s="34" t="n"/>
      <c r="B618" s="34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2.75" customHeight="1">
      <c r="A619" s="34" t="n"/>
      <c r="B619" s="34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2.75" customHeight="1">
      <c r="A620" s="34" t="n"/>
      <c r="B620" s="34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2.75" customHeight="1">
      <c r="A621" s="34" t="n"/>
      <c r="B621" s="34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2.75" customHeight="1">
      <c r="A622" s="34" t="n"/>
      <c r="B622" s="34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2.75" customHeight="1">
      <c r="A623" s="34" t="n"/>
      <c r="B623" s="34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2.75" customHeight="1">
      <c r="A624" s="34" t="n"/>
      <c r="B624" s="34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2.75" customHeight="1">
      <c r="A625" s="34" t="n"/>
      <c r="B625" s="34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2.75" customHeight="1">
      <c r="A626" s="34" t="n"/>
      <c r="B626" s="34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2.75" customHeight="1">
      <c r="A627" s="34" t="n"/>
      <c r="B627" s="34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2.75" customHeight="1">
      <c r="A628" s="34" t="n"/>
      <c r="B628" s="34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2.75" customHeight="1">
      <c r="A629" s="34" t="n"/>
      <c r="B629" s="34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2.75" customHeight="1">
      <c r="A630" s="34" t="n"/>
      <c r="B630" s="34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2.75" customHeight="1">
      <c r="A631" s="34" t="n"/>
      <c r="B631" s="34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2.75" customHeight="1">
      <c r="A632" s="34" t="n"/>
      <c r="B632" s="34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2.75" customHeight="1">
      <c r="A633" s="34" t="n"/>
      <c r="B633" s="34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2.75" customHeight="1">
      <c r="A634" s="34" t="n"/>
      <c r="B634" s="34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2.75" customHeight="1">
      <c r="A635" s="34" t="n"/>
      <c r="B635" s="34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2.75" customHeight="1">
      <c r="A636" s="34" t="n"/>
      <c r="B636" s="34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2.75" customHeight="1">
      <c r="A637" s="34" t="n"/>
      <c r="B637" s="34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2.75" customHeight="1">
      <c r="A638" s="34" t="n"/>
      <c r="B638" s="34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2.75" customHeight="1">
      <c r="A639" s="34" t="n"/>
      <c r="B639" s="34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2.75" customHeight="1">
      <c r="A640" s="34" t="n"/>
      <c r="B640" s="34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2.75" customHeight="1">
      <c r="A641" s="34" t="n"/>
      <c r="B641" s="34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2.75" customHeight="1">
      <c r="A642" s="34" t="n"/>
      <c r="B642" s="34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2.75" customHeight="1">
      <c r="A643" s="34" t="n"/>
      <c r="B643" s="34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2.75" customHeight="1">
      <c r="A644" s="34" t="n"/>
      <c r="B644" s="34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2.75" customHeight="1">
      <c r="A645" s="34" t="n"/>
      <c r="B645" s="34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2.75" customHeight="1">
      <c r="A646" s="34" t="n"/>
      <c r="B646" s="34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2.75" customHeight="1">
      <c r="A647" s="34" t="n"/>
      <c r="B647" s="34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2.75" customHeight="1">
      <c r="A648" s="34" t="n"/>
      <c r="B648" s="34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2.75" customHeight="1">
      <c r="A649" s="34" t="n"/>
      <c r="B649" s="34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2.75" customHeight="1">
      <c r="A650" s="34" t="n"/>
      <c r="B650" s="34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2.75" customHeight="1">
      <c r="A651" s="34" t="n"/>
      <c r="B651" s="34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2.75" customHeight="1">
      <c r="A652" s="34" t="n"/>
      <c r="B652" s="34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2.75" customHeight="1">
      <c r="A653" s="34" t="n"/>
      <c r="B653" s="34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2.75" customHeight="1">
      <c r="A654" s="34" t="n"/>
      <c r="B654" s="34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2.75" customHeight="1">
      <c r="A655" s="34" t="n"/>
      <c r="B655" s="34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2.75" customHeight="1">
      <c r="A656" s="34" t="n"/>
      <c r="B656" s="34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2.75" customHeight="1">
      <c r="A657" s="34" t="n"/>
      <c r="B657" s="34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2.75" customHeight="1">
      <c r="A658" s="34" t="n"/>
      <c r="B658" s="34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2.75" customHeight="1">
      <c r="A659" s="34" t="n"/>
      <c r="B659" s="34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2.75" customHeight="1">
      <c r="A660" s="34" t="n"/>
      <c r="B660" s="34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2.75" customHeight="1">
      <c r="A661" s="34" t="n"/>
      <c r="B661" s="34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2.75" customHeight="1">
      <c r="A662" s="34" t="n"/>
      <c r="B662" s="34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2.75" customHeight="1">
      <c r="A663" s="34" t="n"/>
      <c r="B663" s="34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2.75" customHeight="1">
      <c r="A664" s="34" t="n"/>
      <c r="B664" s="34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2.75" customHeight="1">
      <c r="A665" s="34" t="n"/>
      <c r="B665" s="34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2.75" customHeight="1">
      <c r="A666" s="34" t="n"/>
      <c r="B666" s="34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2.75" customHeight="1">
      <c r="A667" s="34" t="n"/>
      <c r="B667" s="34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2.75" customHeight="1">
      <c r="A668" s="34" t="n"/>
      <c r="B668" s="34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2.75" customHeight="1">
      <c r="A669" s="34" t="n"/>
      <c r="B669" s="34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2.75" customHeight="1">
      <c r="A670" s="34" t="n"/>
      <c r="B670" s="34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2.75" customHeight="1">
      <c r="A671" s="34" t="n"/>
      <c r="B671" s="34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2.75" customHeight="1">
      <c r="A672" s="34" t="n"/>
      <c r="B672" s="34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2.75" customHeight="1">
      <c r="A673" s="34" t="n"/>
      <c r="B673" s="34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2.75" customHeight="1">
      <c r="A674" s="34" t="n"/>
      <c r="B674" s="34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2.75" customHeight="1">
      <c r="A675" s="34" t="n"/>
      <c r="B675" s="34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2.75" customHeight="1">
      <c r="A676" s="34" t="n"/>
      <c r="B676" s="34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2.75" customHeight="1">
      <c r="A677" s="34" t="n"/>
      <c r="B677" s="34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2.75" customHeight="1">
      <c r="A678" s="34" t="n"/>
      <c r="B678" s="34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2.75" customHeight="1">
      <c r="A679" s="34" t="n"/>
      <c r="B679" s="34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2.75" customHeight="1">
      <c r="A680" s="34" t="n"/>
      <c r="B680" s="34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2.75" customHeight="1">
      <c r="A681" s="34" t="n"/>
      <c r="B681" s="34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2.75" customHeight="1">
      <c r="A682" s="34" t="n"/>
      <c r="B682" s="34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2.75" customHeight="1">
      <c r="A683" s="34" t="n"/>
      <c r="B683" s="34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2.75" customHeight="1">
      <c r="A684" s="34" t="n"/>
      <c r="B684" s="34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2.75" customHeight="1">
      <c r="A685" s="34" t="n"/>
      <c r="B685" s="34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2.75" customHeight="1">
      <c r="A686" s="34" t="n"/>
      <c r="B686" s="34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  <c r="T686" s="2" t="n"/>
      <c r="U686" s="2" t="n"/>
      <c r="V686" s="2" t="n"/>
      <c r="W686" s="2" t="n"/>
      <c r="X686" s="2" t="n"/>
      <c r="Y686" s="2" t="n"/>
      <c r="Z686" s="2" t="n"/>
    </row>
    <row r="687" ht="12.75" customHeight="1">
      <c r="A687" s="34" t="n"/>
      <c r="B687" s="34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  <c r="T687" s="2" t="n"/>
      <c r="U687" s="2" t="n"/>
      <c r="V687" s="2" t="n"/>
      <c r="W687" s="2" t="n"/>
      <c r="X687" s="2" t="n"/>
      <c r="Y687" s="2" t="n"/>
      <c r="Z687" s="2" t="n"/>
    </row>
    <row r="688" ht="12.75" customHeight="1">
      <c r="A688" s="34" t="n"/>
      <c r="B688" s="34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  <c r="T688" s="2" t="n"/>
      <c r="U688" s="2" t="n"/>
      <c r="V688" s="2" t="n"/>
      <c r="W688" s="2" t="n"/>
      <c r="X688" s="2" t="n"/>
      <c r="Y688" s="2" t="n"/>
      <c r="Z688" s="2" t="n"/>
    </row>
    <row r="689" ht="12.75" customHeight="1">
      <c r="A689" s="34" t="n"/>
      <c r="B689" s="34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  <c r="T689" s="2" t="n"/>
      <c r="U689" s="2" t="n"/>
      <c r="V689" s="2" t="n"/>
      <c r="W689" s="2" t="n"/>
      <c r="X689" s="2" t="n"/>
      <c r="Y689" s="2" t="n"/>
      <c r="Z689" s="2" t="n"/>
    </row>
    <row r="690" ht="12.75" customHeight="1">
      <c r="A690" s="34" t="n"/>
      <c r="B690" s="34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  <c r="T690" s="2" t="n"/>
      <c r="U690" s="2" t="n"/>
      <c r="V690" s="2" t="n"/>
      <c r="W690" s="2" t="n"/>
      <c r="X690" s="2" t="n"/>
      <c r="Y690" s="2" t="n"/>
      <c r="Z690" s="2" t="n"/>
    </row>
    <row r="691" ht="12.75" customHeight="1">
      <c r="A691" s="34" t="n"/>
      <c r="B691" s="34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  <c r="T691" s="2" t="n"/>
      <c r="U691" s="2" t="n"/>
      <c r="V691" s="2" t="n"/>
      <c r="W691" s="2" t="n"/>
      <c r="X691" s="2" t="n"/>
      <c r="Y691" s="2" t="n"/>
      <c r="Z691" s="2" t="n"/>
    </row>
    <row r="692" ht="12.75" customHeight="1">
      <c r="A692" s="34" t="n"/>
      <c r="B692" s="34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  <c r="T692" s="2" t="n"/>
      <c r="U692" s="2" t="n"/>
      <c r="V692" s="2" t="n"/>
      <c r="W692" s="2" t="n"/>
      <c r="X692" s="2" t="n"/>
      <c r="Y692" s="2" t="n"/>
      <c r="Z692" s="2" t="n"/>
    </row>
    <row r="693" ht="12.75" customHeight="1">
      <c r="A693" s="34" t="n"/>
      <c r="B693" s="34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  <c r="T693" s="2" t="n"/>
      <c r="U693" s="2" t="n"/>
      <c r="V693" s="2" t="n"/>
      <c r="W693" s="2" t="n"/>
      <c r="X693" s="2" t="n"/>
      <c r="Y693" s="2" t="n"/>
      <c r="Z693" s="2" t="n"/>
    </row>
    <row r="694" ht="12.75" customHeight="1">
      <c r="A694" s="34" t="n"/>
      <c r="B694" s="34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  <c r="T694" s="2" t="n"/>
      <c r="U694" s="2" t="n"/>
      <c r="V694" s="2" t="n"/>
      <c r="W694" s="2" t="n"/>
      <c r="X694" s="2" t="n"/>
      <c r="Y694" s="2" t="n"/>
      <c r="Z694" s="2" t="n"/>
    </row>
    <row r="695" ht="12.75" customHeight="1">
      <c r="A695" s="34" t="n"/>
      <c r="B695" s="34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  <c r="T695" s="2" t="n"/>
      <c r="U695" s="2" t="n"/>
      <c r="V695" s="2" t="n"/>
      <c r="W695" s="2" t="n"/>
      <c r="X695" s="2" t="n"/>
      <c r="Y695" s="2" t="n"/>
      <c r="Z695" s="2" t="n"/>
    </row>
    <row r="696" ht="12.75" customHeight="1">
      <c r="A696" s="34" t="n"/>
      <c r="B696" s="34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  <c r="T696" s="2" t="n"/>
      <c r="U696" s="2" t="n"/>
      <c r="V696" s="2" t="n"/>
      <c r="W696" s="2" t="n"/>
      <c r="X696" s="2" t="n"/>
      <c r="Y696" s="2" t="n"/>
      <c r="Z696" s="2" t="n"/>
    </row>
    <row r="697" ht="12.75" customHeight="1">
      <c r="A697" s="34" t="n"/>
      <c r="B697" s="34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  <c r="T697" s="2" t="n"/>
      <c r="U697" s="2" t="n"/>
      <c r="V697" s="2" t="n"/>
      <c r="W697" s="2" t="n"/>
      <c r="X697" s="2" t="n"/>
      <c r="Y697" s="2" t="n"/>
      <c r="Z697" s="2" t="n"/>
    </row>
    <row r="698" ht="12.75" customHeight="1">
      <c r="A698" s="34" t="n"/>
      <c r="B698" s="34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  <c r="T698" s="2" t="n"/>
      <c r="U698" s="2" t="n"/>
      <c r="V698" s="2" t="n"/>
      <c r="W698" s="2" t="n"/>
      <c r="X698" s="2" t="n"/>
      <c r="Y698" s="2" t="n"/>
      <c r="Z698" s="2" t="n"/>
    </row>
    <row r="699" ht="12.75" customHeight="1">
      <c r="A699" s="34" t="n"/>
      <c r="B699" s="34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  <c r="T699" s="2" t="n"/>
      <c r="U699" s="2" t="n"/>
      <c r="V699" s="2" t="n"/>
      <c r="W699" s="2" t="n"/>
      <c r="X699" s="2" t="n"/>
      <c r="Y699" s="2" t="n"/>
      <c r="Z699" s="2" t="n"/>
    </row>
    <row r="700" ht="12.75" customHeight="1">
      <c r="A700" s="34" t="n"/>
      <c r="B700" s="34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  <c r="T700" s="2" t="n"/>
      <c r="U700" s="2" t="n"/>
      <c r="V700" s="2" t="n"/>
      <c r="W700" s="2" t="n"/>
      <c r="X700" s="2" t="n"/>
      <c r="Y700" s="2" t="n"/>
      <c r="Z700" s="2" t="n"/>
    </row>
    <row r="701" ht="12.75" customHeight="1">
      <c r="A701" s="34" t="n"/>
      <c r="B701" s="34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  <c r="T701" s="2" t="n"/>
      <c r="U701" s="2" t="n"/>
      <c r="V701" s="2" t="n"/>
      <c r="W701" s="2" t="n"/>
      <c r="X701" s="2" t="n"/>
      <c r="Y701" s="2" t="n"/>
      <c r="Z701" s="2" t="n"/>
    </row>
    <row r="702" ht="12.75" customHeight="1">
      <c r="A702" s="34" t="n"/>
      <c r="B702" s="34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  <c r="T702" s="2" t="n"/>
      <c r="U702" s="2" t="n"/>
      <c r="V702" s="2" t="n"/>
      <c r="W702" s="2" t="n"/>
      <c r="X702" s="2" t="n"/>
      <c r="Y702" s="2" t="n"/>
      <c r="Z702" s="2" t="n"/>
    </row>
    <row r="703" ht="12.75" customHeight="1">
      <c r="A703" s="34" t="n"/>
      <c r="B703" s="34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  <c r="T703" s="2" t="n"/>
      <c r="U703" s="2" t="n"/>
      <c r="V703" s="2" t="n"/>
      <c r="W703" s="2" t="n"/>
      <c r="X703" s="2" t="n"/>
      <c r="Y703" s="2" t="n"/>
      <c r="Z703" s="2" t="n"/>
    </row>
    <row r="704" ht="12.75" customHeight="1">
      <c r="A704" s="34" t="n"/>
      <c r="B704" s="34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  <c r="T704" s="2" t="n"/>
      <c r="U704" s="2" t="n"/>
      <c r="V704" s="2" t="n"/>
      <c r="W704" s="2" t="n"/>
      <c r="X704" s="2" t="n"/>
      <c r="Y704" s="2" t="n"/>
      <c r="Z704" s="2" t="n"/>
    </row>
    <row r="705" ht="12.75" customHeight="1">
      <c r="A705" s="34" t="n"/>
      <c r="B705" s="34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  <c r="T705" s="2" t="n"/>
      <c r="U705" s="2" t="n"/>
      <c r="V705" s="2" t="n"/>
      <c r="W705" s="2" t="n"/>
      <c r="X705" s="2" t="n"/>
      <c r="Y705" s="2" t="n"/>
      <c r="Z705" s="2" t="n"/>
    </row>
    <row r="706" ht="12.75" customHeight="1">
      <c r="A706" s="34" t="n"/>
      <c r="B706" s="34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  <c r="T706" s="2" t="n"/>
      <c r="U706" s="2" t="n"/>
      <c r="V706" s="2" t="n"/>
      <c r="W706" s="2" t="n"/>
      <c r="X706" s="2" t="n"/>
      <c r="Y706" s="2" t="n"/>
      <c r="Z706" s="2" t="n"/>
    </row>
    <row r="707" ht="12.75" customHeight="1">
      <c r="A707" s="34" t="n"/>
      <c r="B707" s="34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  <c r="T707" s="2" t="n"/>
      <c r="U707" s="2" t="n"/>
      <c r="V707" s="2" t="n"/>
      <c r="W707" s="2" t="n"/>
      <c r="X707" s="2" t="n"/>
      <c r="Y707" s="2" t="n"/>
      <c r="Z707" s="2" t="n"/>
    </row>
    <row r="708" ht="12.75" customHeight="1">
      <c r="A708" s="34" t="n"/>
      <c r="B708" s="34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  <c r="T708" s="2" t="n"/>
      <c r="U708" s="2" t="n"/>
      <c r="V708" s="2" t="n"/>
      <c r="W708" s="2" t="n"/>
      <c r="X708" s="2" t="n"/>
      <c r="Y708" s="2" t="n"/>
      <c r="Z708" s="2" t="n"/>
    </row>
    <row r="709" ht="12.75" customHeight="1">
      <c r="A709" s="34" t="n"/>
      <c r="B709" s="34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  <c r="T709" s="2" t="n"/>
      <c r="U709" s="2" t="n"/>
      <c r="V709" s="2" t="n"/>
      <c r="W709" s="2" t="n"/>
      <c r="X709" s="2" t="n"/>
      <c r="Y709" s="2" t="n"/>
      <c r="Z709" s="2" t="n"/>
    </row>
    <row r="710" ht="12.75" customHeight="1">
      <c r="A710" s="34" t="n"/>
      <c r="B710" s="34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  <c r="T710" s="2" t="n"/>
      <c r="U710" s="2" t="n"/>
      <c r="V710" s="2" t="n"/>
      <c r="W710" s="2" t="n"/>
      <c r="X710" s="2" t="n"/>
      <c r="Y710" s="2" t="n"/>
      <c r="Z710" s="2" t="n"/>
    </row>
    <row r="711" ht="12.75" customHeight="1">
      <c r="A711" s="34" t="n"/>
      <c r="B711" s="34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  <c r="T711" s="2" t="n"/>
      <c r="U711" s="2" t="n"/>
      <c r="V711" s="2" t="n"/>
      <c r="W711" s="2" t="n"/>
      <c r="X711" s="2" t="n"/>
      <c r="Y711" s="2" t="n"/>
      <c r="Z711" s="2" t="n"/>
    </row>
    <row r="712" ht="12.75" customHeight="1">
      <c r="A712" s="34" t="n"/>
      <c r="B712" s="34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  <c r="T712" s="2" t="n"/>
      <c r="U712" s="2" t="n"/>
      <c r="V712" s="2" t="n"/>
      <c r="W712" s="2" t="n"/>
      <c r="X712" s="2" t="n"/>
      <c r="Y712" s="2" t="n"/>
      <c r="Z712" s="2" t="n"/>
    </row>
    <row r="713" ht="12.75" customHeight="1">
      <c r="A713" s="34" t="n"/>
      <c r="B713" s="34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  <c r="T713" s="2" t="n"/>
      <c r="U713" s="2" t="n"/>
      <c r="V713" s="2" t="n"/>
      <c r="W713" s="2" t="n"/>
      <c r="X713" s="2" t="n"/>
      <c r="Y713" s="2" t="n"/>
      <c r="Z713" s="2" t="n"/>
    </row>
    <row r="714" ht="12.75" customHeight="1">
      <c r="A714" s="34" t="n"/>
      <c r="B714" s="34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  <c r="T714" s="2" t="n"/>
      <c r="U714" s="2" t="n"/>
      <c r="V714" s="2" t="n"/>
      <c r="W714" s="2" t="n"/>
      <c r="X714" s="2" t="n"/>
      <c r="Y714" s="2" t="n"/>
      <c r="Z714" s="2" t="n"/>
    </row>
    <row r="715" ht="12.75" customHeight="1">
      <c r="A715" s="34" t="n"/>
      <c r="B715" s="34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  <c r="T715" s="2" t="n"/>
      <c r="U715" s="2" t="n"/>
      <c r="V715" s="2" t="n"/>
      <c r="W715" s="2" t="n"/>
      <c r="X715" s="2" t="n"/>
      <c r="Y715" s="2" t="n"/>
      <c r="Z715" s="2" t="n"/>
    </row>
    <row r="716" ht="12.75" customHeight="1">
      <c r="A716" s="34" t="n"/>
      <c r="B716" s="34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  <c r="T716" s="2" t="n"/>
      <c r="U716" s="2" t="n"/>
      <c r="V716" s="2" t="n"/>
      <c r="W716" s="2" t="n"/>
      <c r="X716" s="2" t="n"/>
      <c r="Y716" s="2" t="n"/>
      <c r="Z716" s="2" t="n"/>
    </row>
    <row r="717" ht="12.75" customHeight="1">
      <c r="A717" s="34" t="n"/>
      <c r="B717" s="34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  <c r="T717" s="2" t="n"/>
      <c r="U717" s="2" t="n"/>
      <c r="V717" s="2" t="n"/>
      <c r="W717" s="2" t="n"/>
      <c r="X717" s="2" t="n"/>
      <c r="Y717" s="2" t="n"/>
      <c r="Z717" s="2" t="n"/>
    </row>
    <row r="718" ht="12.75" customHeight="1">
      <c r="A718" s="34" t="n"/>
      <c r="B718" s="34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  <c r="T718" s="2" t="n"/>
      <c r="U718" s="2" t="n"/>
      <c r="V718" s="2" t="n"/>
      <c r="W718" s="2" t="n"/>
      <c r="X718" s="2" t="n"/>
      <c r="Y718" s="2" t="n"/>
      <c r="Z718" s="2" t="n"/>
    </row>
    <row r="719" ht="12.75" customHeight="1">
      <c r="A719" s="34" t="n"/>
      <c r="B719" s="34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  <c r="T719" s="2" t="n"/>
      <c r="U719" s="2" t="n"/>
      <c r="V719" s="2" t="n"/>
      <c r="W719" s="2" t="n"/>
      <c r="X719" s="2" t="n"/>
      <c r="Y719" s="2" t="n"/>
      <c r="Z719" s="2" t="n"/>
    </row>
    <row r="720" ht="12.75" customHeight="1">
      <c r="A720" s="34" t="n"/>
      <c r="B720" s="34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  <c r="T720" s="2" t="n"/>
      <c r="U720" s="2" t="n"/>
      <c r="V720" s="2" t="n"/>
      <c r="W720" s="2" t="n"/>
      <c r="X720" s="2" t="n"/>
      <c r="Y720" s="2" t="n"/>
      <c r="Z720" s="2" t="n"/>
    </row>
    <row r="721" ht="12.75" customHeight="1">
      <c r="A721" s="34" t="n"/>
      <c r="B721" s="34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  <c r="T721" s="2" t="n"/>
      <c r="U721" s="2" t="n"/>
      <c r="V721" s="2" t="n"/>
      <c r="W721" s="2" t="n"/>
      <c r="X721" s="2" t="n"/>
      <c r="Y721" s="2" t="n"/>
      <c r="Z721" s="2" t="n"/>
    </row>
    <row r="722" ht="12.75" customHeight="1">
      <c r="A722" s="34" t="n"/>
      <c r="B722" s="34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  <c r="T722" s="2" t="n"/>
      <c r="U722" s="2" t="n"/>
      <c r="V722" s="2" t="n"/>
      <c r="W722" s="2" t="n"/>
      <c r="X722" s="2" t="n"/>
      <c r="Y722" s="2" t="n"/>
      <c r="Z722" s="2" t="n"/>
    </row>
    <row r="723" ht="12.75" customHeight="1">
      <c r="A723" s="34" t="n"/>
      <c r="B723" s="34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  <c r="T723" s="2" t="n"/>
      <c r="U723" s="2" t="n"/>
      <c r="V723" s="2" t="n"/>
      <c r="W723" s="2" t="n"/>
      <c r="X723" s="2" t="n"/>
      <c r="Y723" s="2" t="n"/>
      <c r="Z723" s="2" t="n"/>
    </row>
    <row r="724" ht="12.75" customHeight="1">
      <c r="A724" s="34" t="n"/>
      <c r="B724" s="34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  <c r="T724" s="2" t="n"/>
      <c r="U724" s="2" t="n"/>
      <c r="V724" s="2" t="n"/>
      <c r="W724" s="2" t="n"/>
      <c r="X724" s="2" t="n"/>
      <c r="Y724" s="2" t="n"/>
      <c r="Z724" s="2" t="n"/>
    </row>
    <row r="725" ht="12.75" customHeight="1">
      <c r="A725" s="34" t="n"/>
      <c r="B725" s="34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  <c r="T725" s="2" t="n"/>
      <c r="U725" s="2" t="n"/>
      <c r="V725" s="2" t="n"/>
      <c r="W725" s="2" t="n"/>
      <c r="X725" s="2" t="n"/>
      <c r="Y725" s="2" t="n"/>
      <c r="Z725" s="2" t="n"/>
    </row>
    <row r="726" ht="12.75" customHeight="1">
      <c r="A726" s="34" t="n"/>
      <c r="B726" s="34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  <c r="T726" s="2" t="n"/>
      <c r="U726" s="2" t="n"/>
      <c r="V726" s="2" t="n"/>
      <c r="W726" s="2" t="n"/>
      <c r="X726" s="2" t="n"/>
      <c r="Y726" s="2" t="n"/>
      <c r="Z726" s="2" t="n"/>
    </row>
    <row r="727" ht="12.75" customHeight="1">
      <c r="A727" s="34" t="n"/>
      <c r="B727" s="34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  <c r="T727" s="2" t="n"/>
      <c r="U727" s="2" t="n"/>
      <c r="V727" s="2" t="n"/>
      <c r="W727" s="2" t="n"/>
      <c r="X727" s="2" t="n"/>
      <c r="Y727" s="2" t="n"/>
      <c r="Z727" s="2" t="n"/>
    </row>
    <row r="728" ht="12.75" customHeight="1">
      <c r="A728" s="34" t="n"/>
      <c r="B728" s="34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  <c r="T728" s="2" t="n"/>
      <c r="U728" s="2" t="n"/>
      <c r="V728" s="2" t="n"/>
      <c r="W728" s="2" t="n"/>
      <c r="X728" s="2" t="n"/>
      <c r="Y728" s="2" t="n"/>
      <c r="Z728" s="2" t="n"/>
    </row>
    <row r="729" ht="12.75" customHeight="1">
      <c r="A729" s="34" t="n"/>
      <c r="B729" s="34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  <c r="T729" s="2" t="n"/>
      <c r="U729" s="2" t="n"/>
      <c r="V729" s="2" t="n"/>
      <c r="W729" s="2" t="n"/>
      <c r="X729" s="2" t="n"/>
      <c r="Y729" s="2" t="n"/>
      <c r="Z729" s="2" t="n"/>
    </row>
    <row r="730" ht="12.75" customHeight="1">
      <c r="A730" s="34" t="n"/>
      <c r="B730" s="34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  <c r="T730" s="2" t="n"/>
      <c r="U730" s="2" t="n"/>
      <c r="V730" s="2" t="n"/>
      <c r="W730" s="2" t="n"/>
      <c r="X730" s="2" t="n"/>
      <c r="Y730" s="2" t="n"/>
      <c r="Z730" s="2" t="n"/>
    </row>
    <row r="731" ht="12.75" customHeight="1">
      <c r="A731" s="34" t="n"/>
      <c r="B731" s="34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  <c r="T731" s="2" t="n"/>
      <c r="U731" s="2" t="n"/>
      <c r="V731" s="2" t="n"/>
      <c r="W731" s="2" t="n"/>
      <c r="X731" s="2" t="n"/>
      <c r="Y731" s="2" t="n"/>
      <c r="Z731" s="2" t="n"/>
    </row>
    <row r="732" ht="12.75" customHeight="1">
      <c r="A732" s="34" t="n"/>
      <c r="B732" s="34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  <c r="T732" s="2" t="n"/>
      <c r="U732" s="2" t="n"/>
      <c r="V732" s="2" t="n"/>
      <c r="W732" s="2" t="n"/>
      <c r="X732" s="2" t="n"/>
      <c r="Y732" s="2" t="n"/>
      <c r="Z732" s="2" t="n"/>
    </row>
    <row r="733" ht="12.75" customHeight="1">
      <c r="A733" s="34" t="n"/>
      <c r="B733" s="34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  <c r="T733" s="2" t="n"/>
      <c r="U733" s="2" t="n"/>
      <c r="V733" s="2" t="n"/>
      <c r="W733" s="2" t="n"/>
      <c r="X733" s="2" t="n"/>
      <c r="Y733" s="2" t="n"/>
      <c r="Z733" s="2" t="n"/>
    </row>
    <row r="734" ht="12.75" customHeight="1">
      <c r="A734" s="34" t="n"/>
      <c r="B734" s="34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  <c r="T734" s="2" t="n"/>
      <c r="U734" s="2" t="n"/>
      <c r="V734" s="2" t="n"/>
      <c r="W734" s="2" t="n"/>
      <c r="X734" s="2" t="n"/>
      <c r="Y734" s="2" t="n"/>
      <c r="Z734" s="2" t="n"/>
    </row>
    <row r="735" ht="12.75" customHeight="1">
      <c r="A735" s="34" t="n"/>
      <c r="B735" s="34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  <c r="T735" s="2" t="n"/>
      <c r="U735" s="2" t="n"/>
      <c r="V735" s="2" t="n"/>
      <c r="W735" s="2" t="n"/>
      <c r="X735" s="2" t="n"/>
      <c r="Y735" s="2" t="n"/>
      <c r="Z735" s="2" t="n"/>
    </row>
    <row r="736" ht="12.75" customHeight="1">
      <c r="A736" s="34" t="n"/>
      <c r="B736" s="34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  <c r="T736" s="2" t="n"/>
      <c r="U736" s="2" t="n"/>
      <c r="V736" s="2" t="n"/>
      <c r="W736" s="2" t="n"/>
      <c r="X736" s="2" t="n"/>
      <c r="Y736" s="2" t="n"/>
      <c r="Z736" s="2" t="n"/>
    </row>
    <row r="737" ht="12.75" customHeight="1">
      <c r="A737" s="34" t="n"/>
      <c r="B737" s="34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  <c r="T737" s="2" t="n"/>
      <c r="U737" s="2" t="n"/>
      <c r="V737" s="2" t="n"/>
      <c r="W737" s="2" t="n"/>
      <c r="X737" s="2" t="n"/>
      <c r="Y737" s="2" t="n"/>
      <c r="Z737" s="2" t="n"/>
    </row>
    <row r="738" ht="12.75" customHeight="1">
      <c r="A738" s="34" t="n"/>
      <c r="B738" s="34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  <c r="T738" s="2" t="n"/>
      <c r="U738" s="2" t="n"/>
      <c r="V738" s="2" t="n"/>
      <c r="W738" s="2" t="n"/>
      <c r="X738" s="2" t="n"/>
      <c r="Y738" s="2" t="n"/>
      <c r="Z738" s="2" t="n"/>
    </row>
    <row r="739" ht="12.75" customHeight="1">
      <c r="A739" s="34" t="n"/>
      <c r="B739" s="34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  <c r="T739" s="2" t="n"/>
      <c r="U739" s="2" t="n"/>
      <c r="V739" s="2" t="n"/>
      <c r="W739" s="2" t="n"/>
      <c r="X739" s="2" t="n"/>
      <c r="Y739" s="2" t="n"/>
      <c r="Z739" s="2" t="n"/>
    </row>
    <row r="740" ht="12.75" customHeight="1">
      <c r="A740" s="34" t="n"/>
      <c r="B740" s="34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  <c r="T740" s="2" t="n"/>
      <c r="U740" s="2" t="n"/>
      <c r="V740" s="2" t="n"/>
      <c r="W740" s="2" t="n"/>
      <c r="X740" s="2" t="n"/>
      <c r="Y740" s="2" t="n"/>
      <c r="Z740" s="2" t="n"/>
    </row>
    <row r="741" ht="12.75" customHeight="1">
      <c r="A741" s="34" t="n"/>
      <c r="B741" s="34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  <c r="T741" s="2" t="n"/>
      <c r="U741" s="2" t="n"/>
      <c r="V741" s="2" t="n"/>
      <c r="W741" s="2" t="n"/>
      <c r="X741" s="2" t="n"/>
      <c r="Y741" s="2" t="n"/>
      <c r="Z741" s="2" t="n"/>
    </row>
    <row r="742" ht="12.75" customHeight="1">
      <c r="A742" s="34" t="n"/>
      <c r="B742" s="34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  <c r="T742" s="2" t="n"/>
      <c r="U742" s="2" t="n"/>
      <c r="V742" s="2" t="n"/>
      <c r="W742" s="2" t="n"/>
      <c r="X742" s="2" t="n"/>
      <c r="Y742" s="2" t="n"/>
      <c r="Z742" s="2" t="n"/>
    </row>
    <row r="743" ht="12.75" customHeight="1">
      <c r="A743" s="34" t="n"/>
      <c r="B743" s="34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  <c r="T743" s="2" t="n"/>
      <c r="U743" s="2" t="n"/>
      <c r="V743" s="2" t="n"/>
      <c r="W743" s="2" t="n"/>
      <c r="X743" s="2" t="n"/>
      <c r="Y743" s="2" t="n"/>
      <c r="Z743" s="2" t="n"/>
    </row>
    <row r="744" ht="12.75" customHeight="1">
      <c r="A744" s="34" t="n"/>
      <c r="B744" s="34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  <c r="T744" s="2" t="n"/>
      <c r="U744" s="2" t="n"/>
      <c r="V744" s="2" t="n"/>
      <c r="W744" s="2" t="n"/>
      <c r="X744" s="2" t="n"/>
      <c r="Y744" s="2" t="n"/>
      <c r="Z744" s="2" t="n"/>
    </row>
    <row r="745" ht="12.75" customHeight="1">
      <c r="A745" s="34" t="n"/>
      <c r="B745" s="34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  <c r="T745" s="2" t="n"/>
      <c r="U745" s="2" t="n"/>
      <c r="V745" s="2" t="n"/>
      <c r="W745" s="2" t="n"/>
      <c r="X745" s="2" t="n"/>
      <c r="Y745" s="2" t="n"/>
      <c r="Z745" s="2" t="n"/>
    </row>
    <row r="746" ht="12.75" customHeight="1">
      <c r="A746" s="34" t="n"/>
      <c r="B746" s="34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  <c r="T746" s="2" t="n"/>
      <c r="U746" s="2" t="n"/>
      <c r="V746" s="2" t="n"/>
      <c r="W746" s="2" t="n"/>
      <c r="X746" s="2" t="n"/>
      <c r="Y746" s="2" t="n"/>
      <c r="Z746" s="2" t="n"/>
    </row>
    <row r="747" ht="12.75" customHeight="1">
      <c r="A747" s="34" t="n"/>
      <c r="B747" s="34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  <c r="T747" s="2" t="n"/>
      <c r="U747" s="2" t="n"/>
      <c r="V747" s="2" t="n"/>
      <c r="W747" s="2" t="n"/>
      <c r="X747" s="2" t="n"/>
      <c r="Y747" s="2" t="n"/>
      <c r="Z747" s="2" t="n"/>
    </row>
    <row r="748" ht="12.75" customHeight="1">
      <c r="A748" s="34" t="n"/>
      <c r="B748" s="34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  <c r="T748" s="2" t="n"/>
      <c r="U748" s="2" t="n"/>
      <c r="V748" s="2" t="n"/>
      <c r="W748" s="2" t="n"/>
      <c r="X748" s="2" t="n"/>
      <c r="Y748" s="2" t="n"/>
      <c r="Z748" s="2" t="n"/>
    </row>
    <row r="749" ht="12.75" customHeight="1">
      <c r="A749" s="34" t="n"/>
      <c r="B749" s="34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  <c r="T749" s="2" t="n"/>
      <c r="U749" s="2" t="n"/>
      <c r="V749" s="2" t="n"/>
      <c r="W749" s="2" t="n"/>
      <c r="X749" s="2" t="n"/>
      <c r="Y749" s="2" t="n"/>
      <c r="Z749" s="2" t="n"/>
    </row>
    <row r="750" ht="12.75" customHeight="1">
      <c r="A750" s="34" t="n"/>
      <c r="B750" s="34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  <c r="T750" s="2" t="n"/>
      <c r="U750" s="2" t="n"/>
      <c r="V750" s="2" t="n"/>
      <c r="W750" s="2" t="n"/>
      <c r="X750" s="2" t="n"/>
      <c r="Y750" s="2" t="n"/>
      <c r="Z750" s="2" t="n"/>
    </row>
    <row r="751" ht="12.75" customHeight="1">
      <c r="A751" s="34" t="n"/>
      <c r="B751" s="34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  <c r="T751" s="2" t="n"/>
      <c r="U751" s="2" t="n"/>
      <c r="V751" s="2" t="n"/>
      <c r="W751" s="2" t="n"/>
      <c r="X751" s="2" t="n"/>
      <c r="Y751" s="2" t="n"/>
      <c r="Z751" s="2" t="n"/>
    </row>
    <row r="752" ht="12.75" customHeight="1">
      <c r="A752" s="34" t="n"/>
      <c r="B752" s="34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  <c r="T752" s="2" t="n"/>
      <c r="U752" s="2" t="n"/>
      <c r="V752" s="2" t="n"/>
      <c r="W752" s="2" t="n"/>
      <c r="X752" s="2" t="n"/>
      <c r="Y752" s="2" t="n"/>
      <c r="Z752" s="2" t="n"/>
    </row>
    <row r="753" ht="12.75" customHeight="1">
      <c r="A753" s="34" t="n"/>
      <c r="B753" s="34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  <c r="T753" s="2" t="n"/>
      <c r="U753" s="2" t="n"/>
      <c r="V753" s="2" t="n"/>
      <c r="W753" s="2" t="n"/>
      <c r="X753" s="2" t="n"/>
      <c r="Y753" s="2" t="n"/>
      <c r="Z753" s="2" t="n"/>
    </row>
    <row r="754" ht="12.75" customHeight="1">
      <c r="A754" s="34" t="n"/>
      <c r="B754" s="34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  <c r="T754" s="2" t="n"/>
      <c r="U754" s="2" t="n"/>
      <c r="V754" s="2" t="n"/>
      <c r="W754" s="2" t="n"/>
      <c r="X754" s="2" t="n"/>
      <c r="Y754" s="2" t="n"/>
      <c r="Z754" s="2" t="n"/>
    </row>
    <row r="755" ht="12.75" customHeight="1">
      <c r="A755" s="34" t="n"/>
      <c r="B755" s="34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  <c r="T755" s="2" t="n"/>
      <c r="U755" s="2" t="n"/>
      <c r="V755" s="2" t="n"/>
      <c r="W755" s="2" t="n"/>
      <c r="X755" s="2" t="n"/>
      <c r="Y755" s="2" t="n"/>
      <c r="Z755" s="2" t="n"/>
    </row>
    <row r="756" ht="12.75" customHeight="1">
      <c r="A756" s="34" t="n"/>
      <c r="B756" s="34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  <c r="T756" s="2" t="n"/>
      <c r="U756" s="2" t="n"/>
      <c r="V756" s="2" t="n"/>
      <c r="W756" s="2" t="n"/>
      <c r="X756" s="2" t="n"/>
      <c r="Y756" s="2" t="n"/>
      <c r="Z756" s="2" t="n"/>
    </row>
    <row r="757" ht="12.75" customHeight="1">
      <c r="A757" s="34" t="n"/>
      <c r="B757" s="34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  <c r="T757" s="2" t="n"/>
      <c r="U757" s="2" t="n"/>
      <c r="V757" s="2" t="n"/>
      <c r="W757" s="2" t="n"/>
      <c r="X757" s="2" t="n"/>
      <c r="Y757" s="2" t="n"/>
      <c r="Z757" s="2" t="n"/>
    </row>
    <row r="758" ht="12.75" customHeight="1">
      <c r="A758" s="34" t="n"/>
      <c r="B758" s="34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  <c r="T758" s="2" t="n"/>
      <c r="U758" s="2" t="n"/>
      <c r="V758" s="2" t="n"/>
      <c r="W758" s="2" t="n"/>
      <c r="X758" s="2" t="n"/>
      <c r="Y758" s="2" t="n"/>
      <c r="Z758" s="2" t="n"/>
    </row>
    <row r="759" ht="12.75" customHeight="1">
      <c r="A759" s="34" t="n"/>
      <c r="B759" s="34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  <c r="T759" s="2" t="n"/>
      <c r="U759" s="2" t="n"/>
      <c r="V759" s="2" t="n"/>
      <c r="W759" s="2" t="n"/>
      <c r="X759" s="2" t="n"/>
      <c r="Y759" s="2" t="n"/>
      <c r="Z759" s="2" t="n"/>
    </row>
    <row r="760" ht="12.75" customHeight="1">
      <c r="A760" s="34" t="n"/>
      <c r="B760" s="34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  <c r="T760" s="2" t="n"/>
      <c r="U760" s="2" t="n"/>
      <c r="V760" s="2" t="n"/>
      <c r="W760" s="2" t="n"/>
      <c r="X760" s="2" t="n"/>
      <c r="Y760" s="2" t="n"/>
      <c r="Z760" s="2" t="n"/>
    </row>
    <row r="761" ht="12.75" customHeight="1">
      <c r="A761" s="34" t="n"/>
      <c r="B761" s="34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  <c r="T761" s="2" t="n"/>
      <c r="U761" s="2" t="n"/>
      <c r="V761" s="2" t="n"/>
      <c r="W761" s="2" t="n"/>
      <c r="X761" s="2" t="n"/>
      <c r="Y761" s="2" t="n"/>
      <c r="Z761" s="2" t="n"/>
    </row>
    <row r="762" ht="12.75" customHeight="1">
      <c r="A762" s="34" t="n"/>
      <c r="B762" s="34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  <c r="T762" s="2" t="n"/>
      <c r="U762" s="2" t="n"/>
      <c r="V762" s="2" t="n"/>
      <c r="W762" s="2" t="n"/>
      <c r="X762" s="2" t="n"/>
      <c r="Y762" s="2" t="n"/>
      <c r="Z762" s="2" t="n"/>
    </row>
    <row r="763" ht="12.75" customHeight="1">
      <c r="A763" s="34" t="n"/>
      <c r="B763" s="34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  <c r="T763" s="2" t="n"/>
      <c r="U763" s="2" t="n"/>
      <c r="V763" s="2" t="n"/>
      <c r="W763" s="2" t="n"/>
      <c r="X763" s="2" t="n"/>
      <c r="Y763" s="2" t="n"/>
      <c r="Z763" s="2" t="n"/>
    </row>
    <row r="764" ht="12.75" customHeight="1">
      <c r="A764" s="34" t="n"/>
      <c r="B764" s="34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  <c r="T764" s="2" t="n"/>
      <c r="U764" s="2" t="n"/>
      <c r="V764" s="2" t="n"/>
      <c r="W764" s="2" t="n"/>
      <c r="X764" s="2" t="n"/>
      <c r="Y764" s="2" t="n"/>
      <c r="Z764" s="2" t="n"/>
    </row>
    <row r="765" ht="12.75" customHeight="1">
      <c r="A765" s="34" t="n"/>
      <c r="B765" s="34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  <c r="T765" s="2" t="n"/>
      <c r="U765" s="2" t="n"/>
      <c r="V765" s="2" t="n"/>
      <c r="W765" s="2" t="n"/>
      <c r="X765" s="2" t="n"/>
      <c r="Y765" s="2" t="n"/>
      <c r="Z765" s="2" t="n"/>
    </row>
    <row r="766" ht="12.75" customHeight="1">
      <c r="A766" s="34" t="n"/>
      <c r="B766" s="34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  <c r="T766" s="2" t="n"/>
      <c r="U766" s="2" t="n"/>
      <c r="V766" s="2" t="n"/>
      <c r="W766" s="2" t="n"/>
      <c r="X766" s="2" t="n"/>
      <c r="Y766" s="2" t="n"/>
      <c r="Z766" s="2" t="n"/>
    </row>
    <row r="767" ht="12.75" customHeight="1">
      <c r="A767" s="34" t="n"/>
      <c r="B767" s="34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  <c r="T767" s="2" t="n"/>
      <c r="U767" s="2" t="n"/>
      <c r="V767" s="2" t="n"/>
      <c r="W767" s="2" t="n"/>
      <c r="X767" s="2" t="n"/>
      <c r="Y767" s="2" t="n"/>
      <c r="Z767" s="2" t="n"/>
    </row>
    <row r="768" ht="12.75" customHeight="1">
      <c r="A768" s="34" t="n"/>
      <c r="B768" s="34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  <c r="T768" s="2" t="n"/>
      <c r="U768" s="2" t="n"/>
      <c r="V768" s="2" t="n"/>
      <c r="W768" s="2" t="n"/>
      <c r="X768" s="2" t="n"/>
      <c r="Y768" s="2" t="n"/>
      <c r="Z768" s="2" t="n"/>
    </row>
    <row r="769" ht="12.75" customHeight="1">
      <c r="A769" s="34" t="n"/>
      <c r="B769" s="34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  <c r="T769" s="2" t="n"/>
      <c r="U769" s="2" t="n"/>
      <c r="V769" s="2" t="n"/>
      <c r="W769" s="2" t="n"/>
      <c r="X769" s="2" t="n"/>
      <c r="Y769" s="2" t="n"/>
      <c r="Z769" s="2" t="n"/>
    </row>
    <row r="770" ht="12.75" customHeight="1">
      <c r="A770" s="34" t="n"/>
      <c r="B770" s="34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  <c r="T770" s="2" t="n"/>
      <c r="U770" s="2" t="n"/>
      <c r="V770" s="2" t="n"/>
      <c r="W770" s="2" t="n"/>
      <c r="X770" s="2" t="n"/>
      <c r="Y770" s="2" t="n"/>
      <c r="Z770" s="2" t="n"/>
    </row>
    <row r="771" ht="12.75" customHeight="1">
      <c r="A771" s="34" t="n"/>
      <c r="B771" s="34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  <c r="T771" s="2" t="n"/>
      <c r="U771" s="2" t="n"/>
      <c r="V771" s="2" t="n"/>
      <c r="W771" s="2" t="n"/>
      <c r="X771" s="2" t="n"/>
      <c r="Y771" s="2" t="n"/>
      <c r="Z771" s="2" t="n"/>
    </row>
    <row r="772" ht="12.75" customHeight="1">
      <c r="A772" s="34" t="n"/>
      <c r="B772" s="34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  <c r="T772" s="2" t="n"/>
      <c r="U772" s="2" t="n"/>
      <c r="V772" s="2" t="n"/>
      <c r="W772" s="2" t="n"/>
      <c r="X772" s="2" t="n"/>
      <c r="Y772" s="2" t="n"/>
      <c r="Z772" s="2" t="n"/>
    </row>
    <row r="773" ht="12.75" customHeight="1">
      <c r="A773" s="34" t="n"/>
      <c r="B773" s="34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  <c r="T773" s="2" t="n"/>
      <c r="U773" s="2" t="n"/>
      <c r="V773" s="2" t="n"/>
      <c r="W773" s="2" t="n"/>
      <c r="X773" s="2" t="n"/>
      <c r="Y773" s="2" t="n"/>
      <c r="Z773" s="2" t="n"/>
    </row>
    <row r="774" ht="12.75" customHeight="1">
      <c r="A774" s="34" t="n"/>
      <c r="B774" s="34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  <c r="T774" s="2" t="n"/>
      <c r="U774" s="2" t="n"/>
      <c r="V774" s="2" t="n"/>
      <c r="W774" s="2" t="n"/>
      <c r="X774" s="2" t="n"/>
      <c r="Y774" s="2" t="n"/>
      <c r="Z774" s="2" t="n"/>
    </row>
    <row r="775" ht="12.75" customHeight="1">
      <c r="A775" s="34" t="n"/>
      <c r="B775" s="34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  <c r="T775" s="2" t="n"/>
      <c r="U775" s="2" t="n"/>
      <c r="V775" s="2" t="n"/>
      <c r="W775" s="2" t="n"/>
      <c r="X775" s="2" t="n"/>
      <c r="Y775" s="2" t="n"/>
      <c r="Z775" s="2" t="n"/>
    </row>
    <row r="776" ht="12.75" customHeight="1">
      <c r="A776" s="34" t="n"/>
      <c r="B776" s="34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  <c r="T776" s="2" t="n"/>
      <c r="U776" s="2" t="n"/>
      <c r="V776" s="2" t="n"/>
      <c r="W776" s="2" t="n"/>
      <c r="X776" s="2" t="n"/>
      <c r="Y776" s="2" t="n"/>
      <c r="Z776" s="2" t="n"/>
    </row>
    <row r="777" ht="12.75" customHeight="1">
      <c r="A777" s="34" t="n"/>
      <c r="B777" s="34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  <c r="T777" s="2" t="n"/>
      <c r="U777" s="2" t="n"/>
      <c r="V777" s="2" t="n"/>
      <c r="W777" s="2" t="n"/>
      <c r="X777" s="2" t="n"/>
      <c r="Y777" s="2" t="n"/>
      <c r="Z777" s="2" t="n"/>
    </row>
    <row r="778" ht="12.75" customHeight="1">
      <c r="A778" s="34" t="n"/>
      <c r="B778" s="34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  <c r="T778" s="2" t="n"/>
      <c r="U778" s="2" t="n"/>
      <c r="V778" s="2" t="n"/>
      <c r="W778" s="2" t="n"/>
      <c r="X778" s="2" t="n"/>
      <c r="Y778" s="2" t="n"/>
      <c r="Z778" s="2" t="n"/>
    </row>
    <row r="779" ht="12.75" customHeight="1">
      <c r="A779" s="34" t="n"/>
      <c r="B779" s="34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  <c r="T779" s="2" t="n"/>
      <c r="U779" s="2" t="n"/>
      <c r="V779" s="2" t="n"/>
      <c r="W779" s="2" t="n"/>
      <c r="X779" s="2" t="n"/>
      <c r="Y779" s="2" t="n"/>
      <c r="Z779" s="2" t="n"/>
    </row>
    <row r="780" ht="12.75" customHeight="1">
      <c r="A780" s="34" t="n"/>
      <c r="B780" s="34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  <c r="T780" s="2" t="n"/>
      <c r="U780" s="2" t="n"/>
      <c r="V780" s="2" t="n"/>
      <c r="W780" s="2" t="n"/>
      <c r="X780" s="2" t="n"/>
      <c r="Y780" s="2" t="n"/>
      <c r="Z780" s="2" t="n"/>
    </row>
    <row r="781" ht="12.75" customHeight="1">
      <c r="A781" s="34" t="n"/>
      <c r="B781" s="34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  <c r="T781" s="2" t="n"/>
      <c r="U781" s="2" t="n"/>
      <c r="V781" s="2" t="n"/>
      <c r="W781" s="2" t="n"/>
      <c r="X781" s="2" t="n"/>
      <c r="Y781" s="2" t="n"/>
      <c r="Z781" s="2" t="n"/>
    </row>
    <row r="782" ht="12.75" customHeight="1">
      <c r="A782" s="34" t="n"/>
      <c r="B782" s="34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  <c r="T782" s="2" t="n"/>
      <c r="U782" s="2" t="n"/>
      <c r="V782" s="2" t="n"/>
      <c r="W782" s="2" t="n"/>
      <c r="X782" s="2" t="n"/>
      <c r="Y782" s="2" t="n"/>
      <c r="Z782" s="2" t="n"/>
    </row>
    <row r="783" ht="12.75" customHeight="1">
      <c r="A783" s="34" t="n"/>
      <c r="B783" s="34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  <c r="T783" s="2" t="n"/>
      <c r="U783" s="2" t="n"/>
      <c r="V783" s="2" t="n"/>
      <c r="W783" s="2" t="n"/>
      <c r="X783" s="2" t="n"/>
      <c r="Y783" s="2" t="n"/>
      <c r="Z783" s="2" t="n"/>
    </row>
    <row r="784" ht="12.75" customHeight="1">
      <c r="A784" s="34" t="n"/>
      <c r="B784" s="34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  <c r="T784" s="2" t="n"/>
      <c r="U784" s="2" t="n"/>
      <c r="V784" s="2" t="n"/>
      <c r="W784" s="2" t="n"/>
      <c r="X784" s="2" t="n"/>
      <c r="Y784" s="2" t="n"/>
      <c r="Z784" s="2" t="n"/>
    </row>
    <row r="785" ht="12.75" customHeight="1">
      <c r="A785" s="34" t="n"/>
      <c r="B785" s="34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  <c r="T785" s="2" t="n"/>
      <c r="U785" s="2" t="n"/>
      <c r="V785" s="2" t="n"/>
      <c r="W785" s="2" t="n"/>
      <c r="X785" s="2" t="n"/>
      <c r="Y785" s="2" t="n"/>
      <c r="Z785" s="2" t="n"/>
    </row>
    <row r="786" ht="12.75" customHeight="1">
      <c r="A786" s="34" t="n"/>
      <c r="B786" s="34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  <c r="T786" s="2" t="n"/>
      <c r="U786" s="2" t="n"/>
      <c r="V786" s="2" t="n"/>
      <c r="W786" s="2" t="n"/>
      <c r="X786" s="2" t="n"/>
      <c r="Y786" s="2" t="n"/>
      <c r="Z786" s="2" t="n"/>
    </row>
    <row r="787" ht="12.75" customHeight="1">
      <c r="A787" s="34" t="n"/>
      <c r="B787" s="34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  <c r="T787" s="2" t="n"/>
      <c r="U787" s="2" t="n"/>
      <c r="V787" s="2" t="n"/>
      <c r="W787" s="2" t="n"/>
      <c r="X787" s="2" t="n"/>
      <c r="Y787" s="2" t="n"/>
      <c r="Z787" s="2" t="n"/>
    </row>
    <row r="788" ht="12.75" customHeight="1">
      <c r="A788" s="34" t="n"/>
      <c r="B788" s="34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  <c r="T788" s="2" t="n"/>
      <c r="U788" s="2" t="n"/>
      <c r="V788" s="2" t="n"/>
      <c r="W788" s="2" t="n"/>
      <c r="X788" s="2" t="n"/>
      <c r="Y788" s="2" t="n"/>
      <c r="Z788" s="2" t="n"/>
    </row>
    <row r="789" ht="12.75" customHeight="1">
      <c r="A789" s="34" t="n"/>
      <c r="B789" s="34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  <c r="T789" s="2" t="n"/>
      <c r="U789" s="2" t="n"/>
      <c r="V789" s="2" t="n"/>
      <c r="W789" s="2" t="n"/>
      <c r="X789" s="2" t="n"/>
      <c r="Y789" s="2" t="n"/>
      <c r="Z789" s="2" t="n"/>
    </row>
    <row r="790" ht="12.75" customHeight="1">
      <c r="A790" s="34" t="n"/>
      <c r="B790" s="34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  <c r="T790" s="2" t="n"/>
      <c r="U790" s="2" t="n"/>
      <c r="V790" s="2" t="n"/>
      <c r="W790" s="2" t="n"/>
      <c r="X790" s="2" t="n"/>
      <c r="Y790" s="2" t="n"/>
      <c r="Z790" s="2" t="n"/>
    </row>
    <row r="791" ht="12.75" customHeight="1">
      <c r="A791" s="34" t="n"/>
      <c r="B791" s="34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  <c r="T791" s="2" t="n"/>
      <c r="U791" s="2" t="n"/>
      <c r="V791" s="2" t="n"/>
      <c r="W791" s="2" t="n"/>
      <c r="X791" s="2" t="n"/>
      <c r="Y791" s="2" t="n"/>
      <c r="Z791" s="2" t="n"/>
    </row>
    <row r="792" ht="12.75" customHeight="1">
      <c r="A792" s="34" t="n"/>
      <c r="B792" s="34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  <c r="T792" s="2" t="n"/>
      <c r="U792" s="2" t="n"/>
      <c r="V792" s="2" t="n"/>
      <c r="W792" s="2" t="n"/>
      <c r="X792" s="2" t="n"/>
      <c r="Y792" s="2" t="n"/>
      <c r="Z792" s="2" t="n"/>
    </row>
    <row r="793" ht="12.75" customHeight="1">
      <c r="A793" s="34" t="n"/>
      <c r="B793" s="34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  <c r="T793" s="2" t="n"/>
      <c r="U793" s="2" t="n"/>
      <c r="V793" s="2" t="n"/>
      <c r="W793" s="2" t="n"/>
      <c r="X793" s="2" t="n"/>
      <c r="Y793" s="2" t="n"/>
      <c r="Z793" s="2" t="n"/>
    </row>
    <row r="794" ht="12.75" customHeight="1">
      <c r="A794" s="34" t="n"/>
      <c r="B794" s="34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  <c r="T794" s="2" t="n"/>
      <c r="U794" s="2" t="n"/>
      <c r="V794" s="2" t="n"/>
      <c r="W794" s="2" t="n"/>
      <c r="X794" s="2" t="n"/>
      <c r="Y794" s="2" t="n"/>
      <c r="Z794" s="2" t="n"/>
    </row>
    <row r="795" ht="12.75" customHeight="1">
      <c r="A795" s="34" t="n"/>
      <c r="B795" s="34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  <c r="T795" s="2" t="n"/>
      <c r="U795" s="2" t="n"/>
      <c r="V795" s="2" t="n"/>
      <c r="W795" s="2" t="n"/>
      <c r="X795" s="2" t="n"/>
      <c r="Y795" s="2" t="n"/>
      <c r="Z795" s="2" t="n"/>
    </row>
    <row r="796" ht="12.75" customHeight="1">
      <c r="A796" s="34" t="n"/>
      <c r="B796" s="34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  <c r="T796" s="2" t="n"/>
      <c r="U796" s="2" t="n"/>
      <c r="V796" s="2" t="n"/>
      <c r="W796" s="2" t="n"/>
      <c r="X796" s="2" t="n"/>
      <c r="Y796" s="2" t="n"/>
      <c r="Z796" s="2" t="n"/>
    </row>
    <row r="797" ht="12.75" customHeight="1">
      <c r="A797" s="34" t="n"/>
      <c r="B797" s="34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  <c r="T797" s="2" t="n"/>
      <c r="U797" s="2" t="n"/>
      <c r="V797" s="2" t="n"/>
      <c r="W797" s="2" t="n"/>
      <c r="X797" s="2" t="n"/>
      <c r="Y797" s="2" t="n"/>
      <c r="Z797" s="2" t="n"/>
    </row>
    <row r="798" ht="12.75" customHeight="1">
      <c r="A798" s="34" t="n"/>
      <c r="B798" s="34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  <c r="T798" s="2" t="n"/>
      <c r="U798" s="2" t="n"/>
      <c r="V798" s="2" t="n"/>
      <c r="W798" s="2" t="n"/>
      <c r="X798" s="2" t="n"/>
      <c r="Y798" s="2" t="n"/>
      <c r="Z798" s="2" t="n"/>
    </row>
    <row r="799" ht="12.75" customHeight="1">
      <c r="A799" s="34" t="n"/>
      <c r="B799" s="34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  <c r="T799" s="2" t="n"/>
      <c r="U799" s="2" t="n"/>
      <c r="V799" s="2" t="n"/>
      <c r="W799" s="2" t="n"/>
      <c r="X799" s="2" t="n"/>
      <c r="Y799" s="2" t="n"/>
      <c r="Z799" s="2" t="n"/>
    </row>
    <row r="800" ht="12.75" customHeight="1">
      <c r="A800" s="34" t="n"/>
      <c r="B800" s="34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  <c r="T800" s="2" t="n"/>
      <c r="U800" s="2" t="n"/>
      <c r="V800" s="2" t="n"/>
      <c r="W800" s="2" t="n"/>
      <c r="X800" s="2" t="n"/>
      <c r="Y800" s="2" t="n"/>
      <c r="Z800" s="2" t="n"/>
    </row>
    <row r="801" ht="12.75" customHeight="1">
      <c r="A801" s="34" t="n"/>
      <c r="B801" s="34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  <c r="T801" s="2" t="n"/>
      <c r="U801" s="2" t="n"/>
      <c r="V801" s="2" t="n"/>
      <c r="W801" s="2" t="n"/>
      <c r="X801" s="2" t="n"/>
      <c r="Y801" s="2" t="n"/>
      <c r="Z801" s="2" t="n"/>
    </row>
    <row r="802" ht="12.75" customHeight="1">
      <c r="A802" s="34" t="n"/>
      <c r="B802" s="34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  <c r="T802" s="2" t="n"/>
      <c r="U802" s="2" t="n"/>
      <c r="V802" s="2" t="n"/>
      <c r="W802" s="2" t="n"/>
      <c r="X802" s="2" t="n"/>
      <c r="Y802" s="2" t="n"/>
      <c r="Z802" s="2" t="n"/>
    </row>
    <row r="803" ht="12.75" customHeight="1">
      <c r="A803" s="34" t="n"/>
      <c r="B803" s="34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  <c r="T803" s="2" t="n"/>
      <c r="U803" s="2" t="n"/>
      <c r="V803" s="2" t="n"/>
      <c r="W803" s="2" t="n"/>
      <c r="X803" s="2" t="n"/>
      <c r="Y803" s="2" t="n"/>
      <c r="Z803" s="2" t="n"/>
    </row>
    <row r="804" ht="12.75" customHeight="1">
      <c r="A804" s="34" t="n"/>
      <c r="B804" s="34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  <c r="T804" s="2" t="n"/>
      <c r="U804" s="2" t="n"/>
      <c r="V804" s="2" t="n"/>
      <c r="W804" s="2" t="n"/>
      <c r="X804" s="2" t="n"/>
      <c r="Y804" s="2" t="n"/>
      <c r="Z804" s="2" t="n"/>
    </row>
    <row r="805" ht="12.75" customHeight="1">
      <c r="A805" s="34" t="n"/>
      <c r="B805" s="34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  <c r="T805" s="2" t="n"/>
      <c r="U805" s="2" t="n"/>
      <c r="V805" s="2" t="n"/>
      <c r="W805" s="2" t="n"/>
      <c r="X805" s="2" t="n"/>
      <c r="Y805" s="2" t="n"/>
      <c r="Z805" s="2" t="n"/>
    </row>
    <row r="806" ht="12.75" customHeight="1">
      <c r="A806" s="34" t="n"/>
      <c r="B806" s="34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  <c r="T806" s="2" t="n"/>
      <c r="U806" s="2" t="n"/>
      <c r="V806" s="2" t="n"/>
      <c r="W806" s="2" t="n"/>
      <c r="X806" s="2" t="n"/>
      <c r="Y806" s="2" t="n"/>
      <c r="Z806" s="2" t="n"/>
    </row>
    <row r="807" ht="12.75" customHeight="1">
      <c r="A807" s="34" t="n"/>
      <c r="B807" s="34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  <c r="T807" s="2" t="n"/>
      <c r="U807" s="2" t="n"/>
      <c r="V807" s="2" t="n"/>
      <c r="W807" s="2" t="n"/>
      <c r="X807" s="2" t="n"/>
      <c r="Y807" s="2" t="n"/>
      <c r="Z807" s="2" t="n"/>
    </row>
    <row r="808" ht="12.75" customHeight="1">
      <c r="A808" s="34" t="n"/>
      <c r="B808" s="34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  <c r="T808" s="2" t="n"/>
      <c r="U808" s="2" t="n"/>
      <c r="V808" s="2" t="n"/>
      <c r="W808" s="2" t="n"/>
      <c r="X808" s="2" t="n"/>
      <c r="Y808" s="2" t="n"/>
      <c r="Z808" s="2" t="n"/>
    </row>
    <row r="809" ht="12.75" customHeight="1">
      <c r="A809" s="34" t="n"/>
      <c r="B809" s="34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  <c r="T809" s="2" t="n"/>
      <c r="U809" s="2" t="n"/>
      <c r="V809" s="2" t="n"/>
      <c r="W809" s="2" t="n"/>
      <c r="X809" s="2" t="n"/>
      <c r="Y809" s="2" t="n"/>
      <c r="Z809" s="2" t="n"/>
    </row>
    <row r="810" ht="12.75" customHeight="1">
      <c r="A810" s="34" t="n"/>
      <c r="B810" s="34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  <c r="T810" s="2" t="n"/>
      <c r="U810" s="2" t="n"/>
      <c r="V810" s="2" t="n"/>
      <c r="W810" s="2" t="n"/>
      <c r="X810" s="2" t="n"/>
      <c r="Y810" s="2" t="n"/>
      <c r="Z810" s="2" t="n"/>
    </row>
    <row r="811" ht="12.75" customHeight="1">
      <c r="A811" s="34" t="n"/>
      <c r="B811" s="34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  <c r="T811" s="2" t="n"/>
      <c r="U811" s="2" t="n"/>
      <c r="V811" s="2" t="n"/>
      <c r="W811" s="2" t="n"/>
      <c r="X811" s="2" t="n"/>
      <c r="Y811" s="2" t="n"/>
      <c r="Z811" s="2" t="n"/>
    </row>
    <row r="812" ht="12.75" customHeight="1">
      <c r="A812" s="34" t="n"/>
      <c r="B812" s="34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  <c r="T812" s="2" t="n"/>
      <c r="U812" s="2" t="n"/>
      <c r="V812" s="2" t="n"/>
      <c r="W812" s="2" t="n"/>
      <c r="X812" s="2" t="n"/>
      <c r="Y812" s="2" t="n"/>
      <c r="Z812" s="2" t="n"/>
    </row>
    <row r="813" ht="12.75" customHeight="1">
      <c r="A813" s="34" t="n"/>
      <c r="B813" s="34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  <c r="T813" s="2" t="n"/>
      <c r="U813" s="2" t="n"/>
      <c r="V813" s="2" t="n"/>
      <c r="W813" s="2" t="n"/>
      <c r="X813" s="2" t="n"/>
      <c r="Y813" s="2" t="n"/>
      <c r="Z813" s="2" t="n"/>
    </row>
    <row r="814" ht="12.75" customHeight="1">
      <c r="A814" s="34" t="n"/>
      <c r="B814" s="34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  <c r="T814" s="2" t="n"/>
      <c r="U814" s="2" t="n"/>
      <c r="V814" s="2" t="n"/>
      <c r="W814" s="2" t="n"/>
      <c r="X814" s="2" t="n"/>
      <c r="Y814" s="2" t="n"/>
      <c r="Z814" s="2" t="n"/>
    </row>
    <row r="815" ht="12.75" customHeight="1">
      <c r="A815" s="34" t="n"/>
      <c r="B815" s="34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  <c r="T815" s="2" t="n"/>
      <c r="U815" s="2" t="n"/>
      <c r="V815" s="2" t="n"/>
      <c r="W815" s="2" t="n"/>
      <c r="X815" s="2" t="n"/>
      <c r="Y815" s="2" t="n"/>
      <c r="Z815" s="2" t="n"/>
    </row>
    <row r="816" ht="12.75" customHeight="1">
      <c r="A816" s="34" t="n"/>
      <c r="B816" s="34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  <c r="T816" s="2" t="n"/>
      <c r="U816" s="2" t="n"/>
      <c r="V816" s="2" t="n"/>
      <c r="W816" s="2" t="n"/>
      <c r="X816" s="2" t="n"/>
      <c r="Y816" s="2" t="n"/>
      <c r="Z816" s="2" t="n"/>
    </row>
    <row r="817" ht="12.75" customHeight="1">
      <c r="A817" s="34" t="n"/>
      <c r="B817" s="34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  <c r="T817" s="2" t="n"/>
      <c r="U817" s="2" t="n"/>
      <c r="V817" s="2" t="n"/>
      <c r="W817" s="2" t="n"/>
      <c r="X817" s="2" t="n"/>
      <c r="Y817" s="2" t="n"/>
      <c r="Z817" s="2" t="n"/>
    </row>
    <row r="818" ht="12.75" customHeight="1">
      <c r="A818" s="34" t="n"/>
      <c r="B818" s="34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  <c r="T818" s="2" t="n"/>
      <c r="U818" s="2" t="n"/>
      <c r="V818" s="2" t="n"/>
      <c r="W818" s="2" t="n"/>
      <c r="X818" s="2" t="n"/>
      <c r="Y818" s="2" t="n"/>
      <c r="Z818" s="2" t="n"/>
    </row>
    <row r="819" ht="12.75" customHeight="1">
      <c r="A819" s="34" t="n"/>
      <c r="B819" s="34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  <c r="T819" s="2" t="n"/>
      <c r="U819" s="2" t="n"/>
      <c r="V819" s="2" t="n"/>
      <c r="W819" s="2" t="n"/>
      <c r="X819" s="2" t="n"/>
      <c r="Y819" s="2" t="n"/>
      <c r="Z819" s="2" t="n"/>
    </row>
    <row r="820" ht="12.75" customHeight="1">
      <c r="A820" s="34" t="n"/>
      <c r="B820" s="34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  <c r="T820" s="2" t="n"/>
      <c r="U820" s="2" t="n"/>
      <c r="V820" s="2" t="n"/>
      <c r="W820" s="2" t="n"/>
      <c r="X820" s="2" t="n"/>
      <c r="Y820" s="2" t="n"/>
      <c r="Z820" s="2" t="n"/>
    </row>
    <row r="821" ht="12.75" customHeight="1">
      <c r="A821" s="34" t="n"/>
      <c r="B821" s="34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  <c r="T821" s="2" t="n"/>
      <c r="U821" s="2" t="n"/>
      <c r="V821" s="2" t="n"/>
      <c r="W821" s="2" t="n"/>
      <c r="X821" s="2" t="n"/>
      <c r="Y821" s="2" t="n"/>
      <c r="Z821" s="2" t="n"/>
    </row>
    <row r="822" ht="12.75" customHeight="1">
      <c r="A822" s="34" t="n"/>
      <c r="B822" s="34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  <c r="T822" s="2" t="n"/>
      <c r="U822" s="2" t="n"/>
      <c r="V822" s="2" t="n"/>
      <c r="W822" s="2" t="n"/>
      <c r="X822" s="2" t="n"/>
      <c r="Y822" s="2" t="n"/>
      <c r="Z822" s="2" t="n"/>
    </row>
    <row r="823" ht="12.75" customHeight="1">
      <c r="A823" s="34" t="n"/>
      <c r="B823" s="34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  <c r="T823" s="2" t="n"/>
      <c r="U823" s="2" t="n"/>
      <c r="V823" s="2" t="n"/>
      <c r="W823" s="2" t="n"/>
      <c r="X823" s="2" t="n"/>
      <c r="Y823" s="2" t="n"/>
      <c r="Z823" s="2" t="n"/>
    </row>
    <row r="824" ht="12.75" customHeight="1">
      <c r="A824" s="34" t="n"/>
      <c r="B824" s="34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  <c r="T824" s="2" t="n"/>
      <c r="U824" s="2" t="n"/>
      <c r="V824" s="2" t="n"/>
      <c r="W824" s="2" t="n"/>
      <c r="X824" s="2" t="n"/>
      <c r="Y824" s="2" t="n"/>
      <c r="Z824" s="2" t="n"/>
    </row>
    <row r="825" ht="12.75" customHeight="1">
      <c r="A825" s="34" t="n"/>
      <c r="B825" s="34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  <c r="T825" s="2" t="n"/>
      <c r="U825" s="2" t="n"/>
      <c r="V825" s="2" t="n"/>
      <c r="W825" s="2" t="n"/>
      <c r="X825" s="2" t="n"/>
      <c r="Y825" s="2" t="n"/>
      <c r="Z825" s="2" t="n"/>
    </row>
    <row r="826" ht="12.75" customHeight="1">
      <c r="A826" s="34" t="n"/>
      <c r="B826" s="34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  <c r="T826" s="2" t="n"/>
      <c r="U826" s="2" t="n"/>
      <c r="V826" s="2" t="n"/>
      <c r="W826" s="2" t="n"/>
      <c r="X826" s="2" t="n"/>
      <c r="Y826" s="2" t="n"/>
      <c r="Z826" s="2" t="n"/>
    </row>
    <row r="827" ht="12.75" customHeight="1">
      <c r="A827" s="34" t="n"/>
      <c r="B827" s="34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  <c r="T827" s="2" t="n"/>
      <c r="U827" s="2" t="n"/>
      <c r="V827" s="2" t="n"/>
      <c r="W827" s="2" t="n"/>
      <c r="X827" s="2" t="n"/>
      <c r="Y827" s="2" t="n"/>
      <c r="Z827" s="2" t="n"/>
    </row>
    <row r="828" ht="12.75" customHeight="1">
      <c r="A828" s="34" t="n"/>
      <c r="B828" s="34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  <c r="T828" s="2" t="n"/>
      <c r="U828" s="2" t="n"/>
      <c r="V828" s="2" t="n"/>
      <c r="W828" s="2" t="n"/>
      <c r="X828" s="2" t="n"/>
      <c r="Y828" s="2" t="n"/>
      <c r="Z828" s="2" t="n"/>
    </row>
    <row r="829" ht="12.75" customHeight="1">
      <c r="A829" s="34" t="n"/>
      <c r="B829" s="34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  <c r="T829" s="2" t="n"/>
      <c r="U829" s="2" t="n"/>
      <c r="V829" s="2" t="n"/>
      <c r="W829" s="2" t="n"/>
      <c r="X829" s="2" t="n"/>
      <c r="Y829" s="2" t="n"/>
      <c r="Z829" s="2" t="n"/>
    </row>
    <row r="830" ht="12.75" customHeight="1">
      <c r="A830" s="34" t="n"/>
      <c r="B830" s="34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  <c r="T830" s="2" t="n"/>
      <c r="U830" s="2" t="n"/>
      <c r="V830" s="2" t="n"/>
      <c r="W830" s="2" t="n"/>
      <c r="X830" s="2" t="n"/>
      <c r="Y830" s="2" t="n"/>
      <c r="Z830" s="2" t="n"/>
    </row>
    <row r="831" ht="12.75" customHeight="1">
      <c r="A831" s="34" t="n"/>
      <c r="B831" s="34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  <c r="T831" s="2" t="n"/>
      <c r="U831" s="2" t="n"/>
      <c r="V831" s="2" t="n"/>
      <c r="W831" s="2" t="n"/>
      <c r="X831" s="2" t="n"/>
      <c r="Y831" s="2" t="n"/>
      <c r="Z831" s="2" t="n"/>
    </row>
    <row r="832" ht="12.75" customHeight="1">
      <c r="A832" s="34" t="n"/>
      <c r="B832" s="34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  <c r="T832" s="2" t="n"/>
      <c r="U832" s="2" t="n"/>
      <c r="V832" s="2" t="n"/>
      <c r="W832" s="2" t="n"/>
      <c r="X832" s="2" t="n"/>
      <c r="Y832" s="2" t="n"/>
      <c r="Z832" s="2" t="n"/>
    </row>
    <row r="833" ht="12.75" customHeight="1">
      <c r="A833" s="34" t="n"/>
      <c r="B833" s="34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  <c r="T833" s="2" t="n"/>
      <c r="U833" s="2" t="n"/>
      <c r="V833" s="2" t="n"/>
      <c r="W833" s="2" t="n"/>
      <c r="X833" s="2" t="n"/>
      <c r="Y833" s="2" t="n"/>
      <c r="Z833" s="2" t="n"/>
    </row>
    <row r="834" ht="12.75" customHeight="1">
      <c r="A834" s="34" t="n"/>
      <c r="B834" s="34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  <c r="T834" s="2" t="n"/>
      <c r="U834" s="2" t="n"/>
      <c r="V834" s="2" t="n"/>
      <c r="W834" s="2" t="n"/>
      <c r="X834" s="2" t="n"/>
      <c r="Y834" s="2" t="n"/>
      <c r="Z834" s="2" t="n"/>
    </row>
    <row r="835" ht="12.75" customHeight="1">
      <c r="A835" s="34" t="n"/>
      <c r="B835" s="34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  <c r="T835" s="2" t="n"/>
      <c r="U835" s="2" t="n"/>
      <c r="V835" s="2" t="n"/>
      <c r="W835" s="2" t="n"/>
      <c r="X835" s="2" t="n"/>
      <c r="Y835" s="2" t="n"/>
      <c r="Z835" s="2" t="n"/>
    </row>
    <row r="836" ht="12.75" customHeight="1">
      <c r="A836" s="34" t="n"/>
      <c r="B836" s="34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  <c r="T836" s="2" t="n"/>
      <c r="U836" s="2" t="n"/>
      <c r="V836" s="2" t="n"/>
      <c r="W836" s="2" t="n"/>
      <c r="X836" s="2" t="n"/>
      <c r="Y836" s="2" t="n"/>
      <c r="Z836" s="2" t="n"/>
    </row>
    <row r="837" ht="12.75" customHeight="1">
      <c r="A837" s="34" t="n"/>
      <c r="B837" s="34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  <c r="T837" s="2" t="n"/>
      <c r="U837" s="2" t="n"/>
      <c r="V837" s="2" t="n"/>
      <c r="W837" s="2" t="n"/>
      <c r="X837" s="2" t="n"/>
      <c r="Y837" s="2" t="n"/>
      <c r="Z837" s="2" t="n"/>
    </row>
    <row r="838" ht="12.75" customHeight="1">
      <c r="A838" s="34" t="n"/>
      <c r="B838" s="34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  <c r="T838" s="2" t="n"/>
      <c r="U838" s="2" t="n"/>
      <c r="V838" s="2" t="n"/>
      <c r="W838" s="2" t="n"/>
      <c r="X838" s="2" t="n"/>
      <c r="Y838" s="2" t="n"/>
      <c r="Z838" s="2" t="n"/>
    </row>
    <row r="839" ht="12.75" customHeight="1">
      <c r="A839" s="34" t="n"/>
      <c r="B839" s="34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  <c r="T839" s="2" t="n"/>
      <c r="U839" s="2" t="n"/>
      <c r="V839" s="2" t="n"/>
      <c r="W839" s="2" t="n"/>
      <c r="X839" s="2" t="n"/>
      <c r="Y839" s="2" t="n"/>
      <c r="Z839" s="2" t="n"/>
    </row>
    <row r="840" ht="12.75" customHeight="1">
      <c r="A840" s="34" t="n"/>
      <c r="B840" s="34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  <c r="T840" s="2" t="n"/>
      <c r="U840" s="2" t="n"/>
      <c r="V840" s="2" t="n"/>
      <c r="W840" s="2" t="n"/>
      <c r="X840" s="2" t="n"/>
      <c r="Y840" s="2" t="n"/>
      <c r="Z840" s="2" t="n"/>
    </row>
    <row r="841" ht="12.75" customHeight="1">
      <c r="A841" s="34" t="n"/>
      <c r="B841" s="34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  <c r="T841" s="2" t="n"/>
      <c r="U841" s="2" t="n"/>
      <c r="V841" s="2" t="n"/>
      <c r="W841" s="2" t="n"/>
      <c r="X841" s="2" t="n"/>
      <c r="Y841" s="2" t="n"/>
      <c r="Z841" s="2" t="n"/>
    </row>
    <row r="842" ht="12.75" customHeight="1">
      <c r="A842" s="34" t="n"/>
      <c r="B842" s="34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  <c r="T842" s="2" t="n"/>
      <c r="U842" s="2" t="n"/>
      <c r="V842" s="2" t="n"/>
      <c r="W842" s="2" t="n"/>
      <c r="X842" s="2" t="n"/>
      <c r="Y842" s="2" t="n"/>
      <c r="Z842" s="2" t="n"/>
    </row>
    <row r="843" ht="12.75" customHeight="1">
      <c r="A843" s="34" t="n"/>
      <c r="B843" s="34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  <c r="T843" s="2" t="n"/>
      <c r="U843" s="2" t="n"/>
      <c r="V843" s="2" t="n"/>
      <c r="W843" s="2" t="n"/>
      <c r="X843" s="2" t="n"/>
      <c r="Y843" s="2" t="n"/>
      <c r="Z843" s="2" t="n"/>
    </row>
    <row r="844" ht="12.75" customHeight="1">
      <c r="A844" s="34" t="n"/>
      <c r="B844" s="34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  <c r="T844" s="2" t="n"/>
      <c r="U844" s="2" t="n"/>
      <c r="V844" s="2" t="n"/>
      <c r="W844" s="2" t="n"/>
      <c r="X844" s="2" t="n"/>
      <c r="Y844" s="2" t="n"/>
      <c r="Z844" s="2" t="n"/>
    </row>
    <row r="845" ht="12.75" customHeight="1">
      <c r="A845" s="34" t="n"/>
      <c r="B845" s="34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  <c r="T845" s="2" t="n"/>
      <c r="U845" s="2" t="n"/>
      <c r="V845" s="2" t="n"/>
      <c r="W845" s="2" t="n"/>
      <c r="X845" s="2" t="n"/>
      <c r="Y845" s="2" t="n"/>
      <c r="Z845" s="2" t="n"/>
    </row>
    <row r="846" ht="12.75" customHeight="1">
      <c r="A846" s="34" t="n"/>
      <c r="B846" s="34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  <c r="T846" s="2" t="n"/>
      <c r="U846" s="2" t="n"/>
      <c r="V846" s="2" t="n"/>
      <c r="W846" s="2" t="n"/>
      <c r="X846" s="2" t="n"/>
      <c r="Y846" s="2" t="n"/>
      <c r="Z846" s="2" t="n"/>
    </row>
    <row r="847" ht="12.75" customHeight="1">
      <c r="A847" s="34" t="n"/>
      <c r="B847" s="34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  <c r="T847" s="2" t="n"/>
      <c r="U847" s="2" t="n"/>
      <c r="V847" s="2" t="n"/>
      <c r="W847" s="2" t="n"/>
      <c r="X847" s="2" t="n"/>
      <c r="Y847" s="2" t="n"/>
      <c r="Z847" s="2" t="n"/>
    </row>
    <row r="848" ht="12.75" customHeight="1">
      <c r="A848" s="34" t="n"/>
      <c r="B848" s="34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  <c r="T848" s="2" t="n"/>
      <c r="U848" s="2" t="n"/>
      <c r="V848" s="2" t="n"/>
      <c r="W848" s="2" t="n"/>
      <c r="X848" s="2" t="n"/>
      <c r="Y848" s="2" t="n"/>
      <c r="Z848" s="2" t="n"/>
    </row>
    <row r="849" ht="12.75" customHeight="1">
      <c r="A849" s="34" t="n"/>
      <c r="B849" s="34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  <c r="T849" s="2" t="n"/>
      <c r="U849" s="2" t="n"/>
      <c r="V849" s="2" t="n"/>
      <c r="W849" s="2" t="n"/>
      <c r="X849" s="2" t="n"/>
      <c r="Y849" s="2" t="n"/>
      <c r="Z849" s="2" t="n"/>
    </row>
    <row r="850" ht="12.75" customHeight="1">
      <c r="A850" s="34" t="n"/>
      <c r="B850" s="34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  <c r="T850" s="2" t="n"/>
      <c r="U850" s="2" t="n"/>
      <c r="V850" s="2" t="n"/>
      <c r="W850" s="2" t="n"/>
      <c r="X850" s="2" t="n"/>
      <c r="Y850" s="2" t="n"/>
      <c r="Z850" s="2" t="n"/>
    </row>
    <row r="851" ht="12.75" customHeight="1">
      <c r="A851" s="34" t="n"/>
      <c r="B851" s="34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  <c r="T851" s="2" t="n"/>
      <c r="U851" s="2" t="n"/>
      <c r="V851" s="2" t="n"/>
      <c r="W851" s="2" t="n"/>
      <c r="X851" s="2" t="n"/>
      <c r="Y851" s="2" t="n"/>
      <c r="Z851" s="2" t="n"/>
    </row>
    <row r="852" ht="12.75" customHeight="1">
      <c r="A852" s="34" t="n"/>
      <c r="B852" s="34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  <c r="T852" s="2" t="n"/>
      <c r="U852" s="2" t="n"/>
      <c r="V852" s="2" t="n"/>
      <c r="W852" s="2" t="n"/>
      <c r="X852" s="2" t="n"/>
      <c r="Y852" s="2" t="n"/>
      <c r="Z852" s="2" t="n"/>
    </row>
    <row r="853" ht="12.75" customHeight="1">
      <c r="A853" s="34" t="n"/>
      <c r="B853" s="34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  <c r="T853" s="2" t="n"/>
      <c r="U853" s="2" t="n"/>
      <c r="V853" s="2" t="n"/>
      <c r="W853" s="2" t="n"/>
      <c r="X853" s="2" t="n"/>
      <c r="Y853" s="2" t="n"/>
      <c r="Z853" s="2" t="n"/>
    </row>
    <row r="854" ht="12.75" customHeight="1">
      <c r="A854" s="34" t="n"/>
      <c r="B854" s="34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  <c r="T854" s="2" t="n"/>
      <c r="U854" s="2" t="n"/>
      <c r="V854" s="2" t="n"/>
      <c r="W854" s="2" t="n"/>
      <c r="X854" s="2" t="n"/>
      <c r="Y854" s="2" t="n"/>
      <c r="Z854" s="2" t="n"/>
    </row>
    <row r="855" ht="12.75" customHeight="1">
      <c r="A855" s="34" t="n"/>
      <c r="B855" s="34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  <c r="T855" s="2" t="n"/>
      <c r="U855" s="2" t="n"/>
      <c r="V855" s="2" t="n"/>
      <c r="W855" s="2" t="n"/>
      <c r="X855" s="2" t="n"/>
      <c r="Y855" s="2" t="n"/>
      <c r="Z855" s="2" t="n"/>
    </row>
    <row r="856" ht="12.75" customHeight="1">
      <c r="A856" s="34" t="n"/>
      <c r="B856" s="34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  <c r="T856" s="2" t="n"/>
      <c r="U856" s="2" t="n"/>
      <c r="V856" s="2" t="n"/>
      <c r="W856" s="2" t="n"/>
      <c r="X856" s="2" t="n"/>
      <c r="Y856" s="2" t="n"/>
      <c r="Z856" s="2" t="n"/>
    </row>
    <row r="857" ht="12.75" customHeight="1">
      <c r="A857" s="34" t="n"/>
      <c r="B857" s="34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  <c r="T857" s="2" t="n"/>
      <c r="U857" s="2" t="n"/>
      <c r="V857" s="2" t="n"/>
      <c r="W857" s="2" t="n"/>
      <c r="X857" s="2" t="n"/>
      <c r="Y857" s="2" t="n"/>
      <c r="Z857" s="2" t="n"/>
    </row>
    <row r="858" ht="12.75" customHeight="1">
      <c r="A858" s="34" t="n"/>
      <c r="B858" s="34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  <c r="T858" s="2" t="n"/>
      <c r="U858" s="2" t="n"/>
      <c r="V858" s="2" t="n"/>
      <c r="W858" s="2" t="n"/>
      <c r="X858" s="2" t="n"/>
      <c r="Y858" s="2" t="n"/>
      <c r="Z858" s="2" t="n"/>
    </row>
    <row r="859" ht="12.75" customHeight="1">
      <c r="A859" s="34" t="n"/>
      <c r="B859" s="34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  <c r="T859" s="2" t="n"/>
      <c r="U859" s="2" t="n"/>
      <c r="V859" s="2" t="n"/>
      <c r="W859" s="2" t="n"/>
      <c r="X859" s="2" t="n"/>
      <c r="Y859" s="2" t="n"/>
      <c r="Z859" s="2" t="n"/>
    </row>
    <row r="860" ht="12.75" customHeight="1">
      <c r="A860" s="34" t="n"/>
      <c r="B860" s="34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  <c r="T860" s="2" t="n"/>
      <c r="U860" s="2" t="n"/>
      <c r="V860" s="2" t="n"/>
      <c r="W860" s="2" t="n"/>
      <c r="X860" s="2" t="n"/>
      <c r="Y860" s="2" t="n"/>
      <c r="Z860" s="2" t="n"/>
    </row>
    <row r="861" ht="12.75" customHeight="1">
      <c r="A861" s="34" t="n"/>
      <c r="B861" s="34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  <c r="T861" s="2" t="n"/>
      <c r="U861" s="2" t="n"/>
      <c r="V861" s="2" t="n"/>
      <c r="W861" s="2" t="n"/>
      <c r="X861" s="2" t="n"/>
      <c r="Y861" s="2" t="n"/>
      <c r="Z861" s="2" t="n"/>
    </row>
    <row r="862" ht="12.75" customHeight="1">
      <c r="A862" s="34" t="n"/>
      <c r="B862" s="34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  <c r="T862" s="2" t="n"/>
      <c r="U862" s="2" t="n"/>
      <c r="V862" s="2" t="n"/>
      <c r="W862" s="2" t="n"/>
      <c r="X862" s="2" t="n"/>
      <c r="Y862" s="2" t="n"/>
      <c r="Z862" s="2" t="n"/>
    </row>
    <row r="863" ht="12.75" customHeight="1">
      <c r="A863" s="34" t="n"/>
      <c r="B863" s="34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  <c r="T863" s="2" t="n"/>
      <c r="U863" s="2" t="n"/>
      <c r="V863" s="2" t="n"/>
      <c r="W863" s="2" t="n"/>
      <c r="X863" s="2" t="n"/>
      <c r="Y863" s="2" t="n"/>
      <c r="Z863" s="2" t="n"/>
    </row>
    <row r="864" ht="12.75" customHeight="1">
      <c r="A864" s="34" t="n"/>
      <c r="B864" s="34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  <c r="T864" s="2" t="n"/>
      <c r="U864" s="2" t="n"/>
      <c r="V864" s="2" t="n"/>
      <c r="W864" s="2" t="n"/>
      <c r="X864" s="2" t="n"/>
      <c r="Y864" s="2" t="n"/>
      <c r="Z864" s="2" t="n"/>
    </row>
    <row r="865" ht="12.75" customHeight="1">
      <c r="A865" s="34" t="n"/>
      <c r="B865" s="34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  <c r="T865" s="2" t="n"/>
      <c r="U865" s="2" t="n"/>
      <c r="V865" s="2" t="n"/>
      <c r="W865" s="2" t="n"/>
      <c r="X865" s="2" t="n"/>
      <c r="Y865" s="2" t="n"/>
      <c r="Z865" s="2" t="n"/>
    </row>
    <row r="866" ht="12.75" customHeight="1">
      <c r="A866" s="34" t="n"/>
      <c r="B866" s="34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  <c r="T866" s="2" t="n"/>
      <c r="U866" s="2" t="n"/>
      <c r="V866" s="2" t="n"/>
      <c r="W866" s="2" t="n"/>
      <c r="X866" s="2" t="n"/>
      <c r="Y866" s="2" t="n"/>
      <c r="Z866" s="2" t="n"/>
    </row>
    <row r="867" ht="12.75" customHeight="1">
      <c r="A867" s="34" t="n"/>
      <c r="B867" s="34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  <c r="T867" s="2" t="n"/>
      <c r="U867" s="2" t="n"/>
      <c r="V867" s="2" t="n"/>
      <c r="W867" s="2" t="n"/>
      <c r="X867" s="2" t="n"/>
      <c r="Y867" s="2" t="n"/>
      <c r="Z867" s="2" t="n"/>
    </row>
    <row r="868" ht="12.75" customHeight="1">
      <c r="A868" s="34" t="n"/>
      <c r="B868" s="34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  <c r="T868" s="2" t="n"/>
      <c r="U868" s="2" t="n"/>
      <c r="V868" s="2" t="n"/>
      <c r="W868" s="2" t="n"/>
      <c r="X868" s="2" t="n"/>
      <c r="Y868" s="2" t="n"/>
      <c r="Z868" s="2" t="n"/>
    </row>
    <row r="869" ht="12.75" customHeight="1">
      <c r="A869" s="34" t="n"/>
      <c r="B869" s="34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  <c r="T869" s="2" t="n"/>
      <c r="U869" s="2" t="n"/>
      <c r="V869" s="2" t="n"/>
      <c r="W869" s="2" t="n"/>
      <c r="X869" s="2" t="n"/>
      <c r="Y869" s="2" t="n"/>
      <c r="Z869" s="2" t="n"/>
    </row>
    <row r="870" ht="12.75" customHeight="1">
      <c r="A870" s="34" t="n"/>
      <c r="B870" s="34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  <c r="T870" s="2" t="n"/>
      <c r="U870" s="2" t="n"/>
      <c r="V870" s="2" t="n"/>
      <c r="W870" s="2" t="n"/>
      <c r="X870" s="2" t="n"/>
      <c r="Y870" s="2" t="n"/>
      <c r="Z870" s="2" t="n"/>
    </row>
    <row r="871" ht="12.75" customHeight="1">
      <c r="A871" s="34" t="n"/>
      <c r="B871" s="34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  <c r="T871" s="2" t="n"/>
      <c r="U871" s="2" t="n"/>
      <c r="V871" s="2" t="n"/>
      <c r="W871" s="2" t="n"/>
      <c r="X871" s="2" t="n"/>
      <c r="Y871" s="2" t="n"/>
      <c r="Z871" s="2" t="n"/>
    </row>
    <row r="872" ht="12.75" customHeight="1">
      <c r="A872" s="34" t="n"/>
      <c r="B872" s="34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  <c r="T872" s="2" t="n"/>
      <c r="U872" s="2" t="n"/>
      <c r="V872" s="2" t="n"/>
      <c r="W872" s="2" t="n"/>
      <c r="X872" s="2" t="n"/>
      <c r="Y872" s="2" t="n"/>
      <c r="Z872" s="2" t="n"/>
    </row>
    <row r="873" ht="12.75" customHeight="1">
      <c r="A873" s="34" t="n"/>
      <c r="B873" s="34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  <c r="T873" s="2" t="n"/>
      <c r="U873" s="2" t="n"/>
      <c r="V873" s="2" t="n"/>
      <c r="W873" s="2" t="n"/>
      <c r="X873" s="2" t="n"/>
      <c r="Y873" s="2" t="n"/>
      <c r="Z873" s="2" t="n"/>
    </row>
    <row r="874" ht="12.75" customHeight="1">
      <c r="A874" s="34" t="n"/>
      <c r="B874" s="34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  <c r="T874" s="2" t="n"/>
      <c r="U874" s="2" t="n"/>
      <c r="V874" s="2" t="n"/>
      <c r="W874" s="2" t="n"/>
      <c r="X874" s="2" t="n"/>
      <c r="Y874" s="2" t="n"/>
      <c r="Z874" s="2" t="n"/>
    </row>
    <row r="875" ht="12.75" customHeight="1">
      <c r="A875" s="34" t="n"/>
      <c r="B875" s="34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  <c r="T875" s="2" t="n"/>
      <c r="U875" s="2" t="n"/>
      <c r="V875" s="2" t="n"/>
      <c r="W875" s="2" t="n"/>
      <c r="X875" s="2" t="n"/>
      <c r="Y875" s="2" t="n"/>
      <c r="Z875" s="2" t="n"/>
    </row>
    <row r="876" ht="12.75" customHeight="1">
      <c r="A876" s="34" t="n"/>
      <c r="B876" s="34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  <c r="T876" s="2" t="n"/>
      <c r="U876" s="2" t="n"/>
      <c r="V876" s="2" t="n"/>
      <c r="W876" s="2" t="n"/>
      <c r="X876" s="2" t="n"/>
      <c r="Y876" s="2" t="n"/>
      <c r="Z876" s="2" t="n"/>
    </row>
    <row r="877" ht="12.75" customHeight="1">
      <c r="A877" s="34" t="n"/>
      <c r="B877" s="34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  <c r="T877" s="2" t="n"/>
      <c r="U877" s="2" t="n"/>
      <c r="V877" s="2" t="n"/>
      <c r="W877" s="2" t="n"/>
      <c r="X877" s="2" t="n"/>
      <c r="Y877" s="2" t="n"/>
      <c r="Z877" s="2" t="n"/>
    </row>
    <row r="878" ht="12.75" customHeight="1">
      <c r="A878" s="34" t="n"/>
      <c r="B878" s="34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  <c r="T878" s="2" t="n"/>
      <c r="U878" s="2" t="n"/>
      <c r="V878" s="2" t="n"/>
      <c r="W878" s="2" t="n"/>
      <c r="X878" s="2" t="n"/>
      <c r="Y878" s="2" t="n"/>
      <c r="Z878" s="2" t="n"/>
    </row>
    <row r="879" ht="12.75" customHeight="1">
      <c r="A879" s="34" t="n"/>
      <c r="B879" s="34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  <c r="T879" s="2" t="n"/>
      <c r="U879" s="2" t="n"/>
      <c r="V879" s="2" t="n"/>
      <c r="W879" s="2" t="n"/>
      <c r="X879" s="2" t="n"/>
      <c r="Y879" s="2" t="n"/>
      <c r="Z879" s="2" t="n"/>
    </row>
    <row r="880" ht="12.75" customHeight="1">
      <c r="A880" s="34" t="n"/>
      <c r="B880" s="34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  <c r="T880" s="2" t="n"/>
      <c r="U880" s="2" t="n"/>
      <c r="V880" s="2" t="n"/>
      <c r="W880" s="2" t="n"/>
      <c r="X880" s="2" t="n"/>
      <c r="Y880" s="2" t="n"/>
      <c r="Z880" s="2" t="n"/>
    </row>
    <row r="881" ht="12.75" customHeight="1">
      <c r="A881" s="34" t="n"/>
      <c r="B881" s="34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  <c r="T881" s="2" t="n"/>
      <c r="U881" s="2" t="n"/>
      <c r="V881" s="2" t="n"/>
      <c r="W881" s="2" t="n"/>
      <c r="X881" s="2" t="n"/>
      <c r="Y881" s="2" t="n"/>
      <c r="Z881" s="2" t="n"/>
    </row>
    <row r="882" ht="12.75" customHeight="1">
      <c r="A882" s="34" t="n"/>
      <c r="B882" s="34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  <c r="T882" s="2" t="n"/>
      <c r="U882" s="2" t="n"/>
      <c r="V882" s="2" t="n"/>
      <c r="W882" s="2" t="n"/>
      <c r="X882" s="2" t="n"/>
      <c r="Y882" s="2" t="n"/>
      <c r="Z882" s="2" t="n"/>
    </row>
    <row r="883" ht="12.75" customHeight="1">
      <c r="A883" s="34" t="n"/>
      <c r="B883" s="34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  <c r="T883" s="2" t="n"/>
      <c r="U883" s="2" t="n"/>
      <c r="V883" s="2" t="n"/>
      <c r="W883" s="2" t="n"/>
      <c r="X883" s="2" t="n"/>
      <c r="Y883" s="2" t="n"/>
      <c r="Z883" s="2" t="n"/>
    </row>
    <row r="884" ht="12.75" customHeight="1">
      <c r="A884" s="34" t="n"/>
      <c r="B884" s="34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  <c r="T884" s="2" t="n"/>
      <c r="U884" s="2" t="n"/>
      <c r="V884" s="2" t="n"/>
      <c r="W884" s="2" t="n"/>
      <c r="X884" s="2" t="n"/>
      <c r="Y884" s="2" t="n"/>
      <c r="Z884" s="2" t="n"/>
    </row>
    <row r="885" ht="12.75" customHeight="1">
      <c r="A885" s="34" t="n"/>
      <c r="B885" s="34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  <c r="T885" s="2" t="n"/>
      <c r="U885" s="2" t="n"/>
      <c r="V885" s="2" t="n"/>
      <c r="W885" s="2" t="n"/>
      <c r="X885" s="2" t="n"/>
      <c r="Y885" s="2" t="n"/>
      <c r="Z885" s="2" t="n"/>
    </row>
    <row r="886" ht="12.75" customHeight="1">
      <c r="A886" s="34" t="n"/>
      <c r="B886" s="34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  <c r="T886" s="2" t="n"/>
      <c r="U886" s="2" t="n"/>
      <c r="V886" s="2" t="n"/>
      <c r="W886" s="2" t="n"/>
      <c r="X886" s="2" t="n"/>
      <c r="Y886" s="2" t="n"/>
      <c r="Z886" s="2" t="n"/>
    </row>
    <row r="887" ht="12.75" customHeight="1">
      <c r="A887" s="34" t="n"/>
      <c r="B887" s="34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  <c r="T887" s="2" t="n"/>
      <c r="U887" s="2" t="n"/>
      <c r="V887" s="2" t="n"/>
      <c r="W887" s="2" t="n"/>
      <c r="X887" s="2" t="n"/>
      <c r="Y887" s="2" t="n"/>
      <c r="Z887" s="2" t="n"/>
    </row>
    <row r="888" ht="12.75" customHeight="1">
      <c r="A888" s="34" t="n"/>
      <c r="B888" s="34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  <c r="T888" s="2" t="n"/>
      <c r="U888" s="2" t="n"/>
      <c r="V888" s="2" t="n"/>
      <c r="W888" s="2" t="n"/>
      <c r="X888" s="2" t="n"/>
      <c r="Y888" s="2" t="n"/>
      <c r="Z888" s="2" t="n"/>
    </row>
    <row r="889" ht="12.75" customHeight="1">
      <c r="A889" s="34" t="n"/>
      <c r="B889" s="34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  <c r="T889" s="2" t="n"/>
      <c r="U889" s="2" t="n"/>
      <c r="V889" s="2" t="n"/>
      <c r="W889" s="2" t="n"/>
      <c r="X889" s="2" t="n"/>
      <c r="Y889" s="2" t="n"/>
      <c r="Z889" s="2" t="n"/>
    </row>
    <row r="890" ht="12.75" customHeight="1">
      <c r="A890" s="34" t="n"/>
      <c r="B890" s="34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  <c r="T890" s="2" t="n"/>
      <c r="U890" s="2" t="n"/>
      <c r="V890" s="2" t="n"/>
      <c r="W890" s="2" t="n"/>
      <c r="X890" s="2" t="n"/>
      <c r="Y890" s="2" t="n"/>
      <c r="Z890" s="2" t="n"/>
    </row>
    <row r="891" ht="12.75" customHeight="1">
      <c r="A891" s="34" t="n"/>
      <c r="B891" s="34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  <c r="T891" s="2" t="n"/>
      <c r="U891" s="2" t="n"/>
      <c r="V891" s="2" t="n"/>
      <c r="W891" s="2" t="n"/>
      <c r="X891" s="2" t="n"/>
      <c r="Y891" s="2" t="n"/>
      <c r="Z891" s="2" t="n"/>
    </row>
    <row r="892" ht="12.75" customHeight="1">
      <c r="A892" s="34" t="n"/>
      <c r="B892" s="34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  <c r="T892" s="2" t="n"/>
      <c r="U892" s="2" t="n"/>
      <c r="V892" s="2" t="n"/>
      <c r="W892" s="2" t="n"/>
      <c r="X892" s="2" t="n"/>
      <c r="Y892" s="2" t="n"/>
      <c r="Z892" s="2" t="n"/>
    </row>
    <row r="893" ht="12.75" customHeight="1">
      <c r="A893" s="34" t="n"/>
      <c r="B893" s="34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  <c r="T893" s="2" t="n"/>
      <c r="U893" s="2" t="n"/>
      <c r="V893" s="2" t="n"/>
      <c r="W893" s="2" t="n"/>
      <c r="X893" s="2" t="n"/>
      <c r="Y893" s="2" t="n"/>
      <c r="Z893" s="2" t="n"/>
    </row>
    <row r="894" ht="12.75" customHeight="1">
      <c r="A894" s="34" t="n"/>
      <c r="B894" s="34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  <c r="T894" s="2" t="n"/>
      <c r="U894" s="2" t="n"/>
      <c r="V894" s="2" t="n"/>
      <c r="W894" s="2" t="n"/>
      <c r="X894" s="2" t="n"/>
      <c r="Y894" s="2" t="n"/>
      <c r="Z894" s="2" t="n"/>
    </row>
    <row r="895" ht="12.75" customHeight="1">
      <c r="A895" s="34" t="n"/>
      <c r="B895" s="34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  <c r="T895" s="2" t="n"/>
      <c r="U895" s="2" t="n"/>
      <c r="V895" s="2" t="n"/>
      <c r="W895" s="2" t="n"/>
      <c r="X895" s="2" t="n"/>
      <c r="Y895" s="2" t="n"/>
      <c r="Z895" s="2" t="n"/>
    </row>
    <row r="896" ht="12.75" customHeight="1">
      <c r="A896" s="34" t="n"/>
      <c r="B896" s="34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  <c r="T896" s="2" t="n"/>
      <c r="U896" s="2" t="n"/>
      <c r="V896" s="2" t="n"/>
      <c r="W896" s="2" t="n"/>
      <c r="X896" s="2" t="n"/>
      <c r="Y896" s="2" t="n"/>
      <c r="Z896" s="2" t="n"/>
    </row>
    <row r="897" ht="12.75" customHeight="1">
      <c r="A897" s="34" t="n"/>
      <c r="B897" s="34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  <c r="T897" s="2" t="n"/>
      <c r="U897" s="2" t="n"/>
      <c r="V897" s="2" t="n"/>
      <c r="W897" s="2" t="n"/>
      <c r="X897" s="2" t="n"/>
      <c r="Y897" s="2" t="n"/>
      <c r="Z897" s="2" t="n"/>
    </row>
    <row r="898" ht="12.75" customHeight="1">
      <c r="A898" s="34" t="n"/>
      <c r="B898" s="34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  <c r="T898" s="2" t="n"/>
      <c r="U898" s="2" t="n"/>
      <c r="V898" s="2" t="n"/>
      <c r="W898" s="2" t="n"/>
      <c r="X898" s="2" t="n"/>
      <c r="Y898" s="2" t="n"/>
      <c r="Z898" s="2" t="n"/>
    </row>
    <row r="899" ht="12.75" customHeight="1">
      <c r="A899" s="34" t="n"/>
      <c r="B899" s="34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  <c r="T899" s="2" t="n"/>
      <c r="U899" s="2" t="n"/>
      <c r="V899" s="2" t="n"/>
      <c r="W899" s="2" t="n"/>
      <c r="X899" s="2" t="n"/>
      <c r="Y899" s="2" t="n"/>
      <c r="Z899" s="2" t="n"/>
    </row>
    <row r="900" ht="12.75" customHeight="1">
      <c r="A900" s="34" t="n"/>
      <c r="B900" s="34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  <c r="T900" s="2" t="n"/>
      <c r="U900" s="2" t="n"/>
      <c r="V900" s="2" t="n"/>
      <c r="W900" s="2" t="n"/>
      <c r="X900" s="2" t="n"/>
      <c r="Y900" s="2" t="n"/>
      <c r="Z900" s="2" t="n"/>
    </row>
    <row r="901" ht="12.75" customHeight="1">
      <c r="A901" s="34" t="n"/>
      <c r="B901" s="34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  <c r="T901" s="2" t="n"/>
      <c r="U901" s="2" t="n"/>
      <c r="V901" s="2" t="n"/>
      <c r="W901" s="2" t="n"/>
      <c r="X901" s="2" t="n"/>
      <c r="Y901" s="2" t="n"/>
      <c r="Z901" s="2" t="n"/>
    </row>
    <row r="902" ht="12.75" customHeight="1">
      <c r="A902" s="34" t="n"/>
      <c r="B902" s="34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  <c r="T902" s="2" t="n"/>
      <c r="U902" s="2" t="n"/>
      <c r="V902" s="2" t="n"/>
      <c r="W902" s="2" t="n"/>
      <c r="X902" s="2" t="n"/>
      <c r="Y902" s="2" t="n"/>
      <c r="Z902" s="2" t="n"/>
    </row>
    <row r="903" ht="12.75" customHeight="1">
      <c r="A903" s="34" t="n"/>
      <c r="B903" s="34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  <c r="T903" s="2" t="n"/>
      <c r="U903" s="2" t="n"/>
      <c r="V903" s="2" t="n"/>
      <c r="W903" s="2" t="n"/>
      <c r="X903" s="2" t="n"/>
      <c r="Y903" s="2" t="n"/>
      <c r="Z903" s="2" t="n"/>
    </row>
    <row r="904" ht="12.75" customHeight="1">
      <c r="A904" s="34" t="n"/>
      <c r="B904" s="34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  <c r="T904" s="2" t="n"/>
      <c r="U904" s="2" t="n"/>
      <c r="V904" s="2" t="n"/>
      <c r="W904" s="2" t="n"/>
      <c r="X904" s="2" t="n"/>
      <c r="Y904" s="2" t="n"/>
      <c r="Z904" s="2" t="n"/>
    </row>
    <row r="905" ht="12.75" customHeight="1">
      <c r="A905" s="34" t="n"/>
      <c r="B905" s="34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  <c r="T905" s="2" t="n"/>
      <c r="U905" s="2" t="n"/>
      <c r="V905" s="2" t="n"/>
      <c r="W905" s="2" t="n"/>
      <c r="X905" s="2" t="n"/>
      <c r="Y905" s="2" t="n"/>
      <c r="Z905" s="2" t="n"/>
    </row>
    <row r="906" ht="12.75" customHeight="1">
      <c r="A906" s="34" t="n"/>
      <c r="B906" s="34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  <c r="T906" s="2" t="n"/>
      <c r="U906" s="2" t="n"/>
      <c r="V906" s="2" t="n"/>
      <c r="W906" s="2" t="n"/>
      <c r="X906" s="2" t="n"/>
      <c r="Y906" s="2" t="n"/>
      <c r="Z906" s="2" t="n"/>
    </row>
    <row r="907" ht="12.75" customHeight="1">
      <c r="A907" s="34" t="n"/>
      <c r="B907" s="34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  <c r="T907" s="2" t="n"/>
      <c r="U907" s="2" t="n"/>
      <c r="V907" s="2" t="n"/>
      <c r="W907" s="2" t="n"/>
      <c r="X907" s="2" t="n"/>
      <c r="Y907" s="2" t="n"/>
      <c r="Z907" s="2" t="n"/>
    </row>
    <row r="908" ht="12.75" customHeight="1">
      <c r="A908" s="34" t="n"/>
      <c r="B908" s="34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  <c r="T908" s="2" t="n"/>
      <c r="U908" s="2" t="n"/>
      <c r="V908" s="2" t="n"/>
      <c r="W908" s="2" t="n"/>
      <c r="X908" s="2" t="n"/>
      <c r="Y908" s="2" t="n"/>
      <c r="Z908" s="2" t="n"/>
    </row>
    <row r="909" ht="12.75" customHeight="1">
      <c r="A909" s="34" t="n"/>
      <c r="B909" s="34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  <c r="T909" s="2" t="n"/>
      <c r="U909" s="2" t="n"/>
      <c r="V909" s="2" t="n"/>
      <c r="W909" s="2" t="n"/>
      <c r="X909" s="2" t="n"/>
      <c r="Y909" s="2" t="n"/>
      <c r="Z909" s="2" t="n"/>
    </row>
    <row r="910" ht="12.75" customHeight="1">
      <c r="A910" s="34" t="n"/>
      <c r="B910" s="34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  <c r="T910" s="2" t="n"/>
      <c r="U910" s="2" t="n"/>
      <c r="V910" s="2" t="n"/>
      <c r="W910" s="2" t="n"/>
      <c r="X910" s="2" t="n"/>
      <c r="Y910" s="2" t="n"/>
      <c r="Z910" s="2" t="n"/>
    </row>
    <row r="911" ht="12.75" customHeight="1">
      <c r="A911" s="34" t="n"/>
      <c r="B911" s="34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  <c r="T911" s="2" t="n"/>
      <c r="U911" s="2" t="n"/>
      <c r="V911" s="2" t="n"/>
      <c r="W911" s="2" t="n"/>
      <c r="X911" s="2" t="n"/>
      <c r="Y911" s="2" t="n"/>
      <c r="Z911" s="2" t="n"/>
    </row>
    <row r="912" ht="12.75" customHeight="1">
      <c r="A912" s="34" t="n"/>
      <c r="B912" s="34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  <c r="T912" s="2" t="n"/>
      <c r="U912" s="2" t="n"/>
      <c r="V912" s="2" t="n"/>
      <c r="W912" s="2" t="n"/>
      <c r="X912" s="2" t="n"/>
      <c r="Y912" s="2" t="n"/>
      <c r="Z912" s="2" t="n"/>
    </row>
    <row r="913" ht="12.75" customHeight="1">
      <c r="A913" s="34" t="n"/>
      <c r="B913" s="34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  <c r="T913" s="2" t="n"/>
      <c r="U913" s="2" t="n"/>
      <c r="V913" s="2" t="n"/>
      <c r="W913" s="2" t="n"/>
      <c r="X913" s="2" t="n"/>
      <c r="Y913" s="2" t="n"/>
      <c r="Z913" s="2" t="n"/>
    </row>
    <row r="914" ht="12.75" customHeight="1">
      <c r="A914" s="34" t="n"/>
      <c r="B914" s="34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  <c r="T914" s="2" t="n"/>
      <c r="U914" s="2" t="n"/>
      <c r="V914" s="2" t="n"/>
      <c r="W914" s="2" t="n"/>
      <c r="X914" s="2" t="n"/>
      <c r="Y914" s="2" t="n"/>
      <c r="Z914" s="2" t="n"/>
    </row>
    <row r="915" ht="12.75" customHeight="1">
      <c r="A915" s="34" t="n"/>
      <c r="B915" s="34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  <c r="T915" s="2" t="n"/>
      <c r="U915" s="2" t="n"/>
      <c r="V915" s="2" t="n"/>
      <c r="W915" s="2" t="n"/>
      <c r="X915" s="2" t="n"/>
      <c r="Y915" s="2" t="n"/>
      <c r="Z915" s="2" t="n"/>
    </row>
    <row r="916" ht="12.75" customHeight="1">
      <c r="A916" s="34" t="n"/>
      <c r="B916" s="34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  <c r="T916" s="2" t="n"/>
      <c r="U916" s="2" t="n"/>
      <c r="V916" s="2" t="n"/>
      <c r="W916" s="2" t="n"/>
      <c r="X916" s="2" t="n"/>
      <c r="Y916" s="2" t="n"/>
      <c r="Z916" s="2" t="n"/>
    </row>
    <row r="917" ht="12.75" customHeight="1">
      <c r="A917" s="34" t="n"/>
      <c r="B917" s="34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  <c r="T917" s="2" t="n"/>
      <c r="U917" s="2" t="n"/>
      <c r="V917" s="2" t="n"/>
      <c r="W917" s="2" t="n"/>
      <c r="X917" s="2" t="n"/>
      <c r="Y917" s="2" t="n"/>
      <c r="Z917" s="2" t="n"/>
    </row>
    <row r="918" ht="12.75" customHeight="1">
      <c r="A918" s="34" t="n"/>
      <c r="B918" s="34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  <c r="T918" s="2" t="n"/>
      <c r="U918" s="2" t="n"/>
      <c r="V918" s="2" t="n"/>
      <c r="W918" s="2" t="n"/>
      <c r="X918" s="2" t="n"/>
      <c r="Y918" s="2" t="n"/>
      <c r="Z918" s="2" t="n"/>
    </row>
    <row r="919" ht="12.75" customHeight="1">
      <c r="A919" s="34" t="n"/>
      <c r="B919" s="34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  <c r="T919" s="2" t="n"/>
      <c r="U919" s="2" t="n"/>
      <c r="V919" s="2" t="n"/>
      <c r="W919" s="2" t="n"/>
      <c r="X919" s="2" t="n"/>
      <c r="Y919" s="2" t="n"/>
      <c r="Z919" s="2" t="n"/>
    </row>
    <row r="920" ht="12.75" customHeight="1">
      <c r="A920" s="34" t="n"/>
      <c r="B920" s="34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  <c r="T920" s="2" t="n"/>
      <c r="U920" s="2" t="n"/>
      <c r="V920" s="2" t="n"/>
      <c r="W920" s="2" t="n"/>
      <c r="X920" s="2" t="n"/>
      <c r="Y920" s="2" t="n"/>
      <c r="Z920" s="2" t="n"/>
    </row>
    <row r="921" ht="12.75" customHeight="1">
      <c r="A921" s="34" t="n"/>
      <c r="B921" s="34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  <c r="T921" s="2" t="n"/>
      <c r="U921" s="2" t="n"/>
      <c r="V921" s="2" t="n"/>
      <c r="W921" s="2" t="n"/>
      <c r="X921" s="2" t="n"/>
      <c r="Y921" s="2" t="n"/>
      <c r="Z921" s="2" t="n"/>
    </row>
    <row r="922" ht="12.75" customHeight="1">
      <c r="A922" s="34" t="n"/>
      <c r="B922" s="34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  <c r="T922" s="2" t="n"/>
      <c r="U922" s="2" t="n"/>
      <c r="V922" s="2" t="n"/>
      <c r="W922" s="2" t="n"/>
      <c r="X922" s="2" t="n"/>
      <c r="Y922" s="2" t="n"/>
      <c r="Z922" s="2" t="n"/>
    </row>
    <row r="923" ht="12.75" customHeight="1">
      <c r="A923" s="34" t="n"/>
      <c r="B923" s="34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  <c r="T923" s="2" t="n"/>
      <c r="U923" s="2" t="n"/>
      <c r="V923" s="2" t="n"/>
      <c r="W923" s="2" t="n"/>
      <c r="X923" s="2" t="n"/>
      <c r="Y923" s="2" t="n"/>
      <c r="Z923" s="2" t="n"/>
    </row>
    <row r="924" ht="12.75" customHeight="1">
      <c r="A924" s="34" t="n"/>
      <c r="B924" s="34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  <c r="T924" s="2" t="n"/>
      <c r="U924" s="2" t="n"/>
      <c r="V924" s="2" t="n"/>
      <c r="W924" s="2" t="n"/>
      <c r="X924" s="2" t="n"/>
      <c r="Y924" s="2" t="n"/>
      <c r="Z924" s="2" t="n"/>
    </row>
    <row r="925" ht="12.75" customHeight="1">
      <c r="A925" s="34" t="n"/>
      <c r="B925" s="34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  <c r="T925" s="2" t="n"/>
      <c r="U925" s="2" t="n"/>
      <c r="V925" s="2" t="n"/>
      <c r="W925" s="2" t="n"/>
      <c r="X925" s="2" t="n"/>
      <c r="Y925" s="2" t="n"/>
      <c r="Z925" s="2" t="n"/>
    </row>
    <row r="926" ht="12.75" customHeight="1">
      <c r="A926" s="34" t="n"/>
      <c r="B926" s="34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  <c r="T926" s="2" t="n"/>
      <c r="U926" s="2" t="n"/>
      <c r="V926" s="2" t="n"/>
      <c r="W926" s="2" t="n"/>
      <c r="X926" s="2" t="n"/>
      <c r="Y926" s="2" t="n"/>
      <c r="Z926" s="2" t="n"/>
    </row>
    <row r="927" ht="12.75" customHeight="1">
      <c r="A927" s="34" t="n"/>
      <c r="B927" s="34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  <c r="T927" s="2" t="n"/>
      <c r="U927" s="2" t="n"/>
      <c r="V927" s="2" t="n"/>
      <c r="W927" s="2" t="n"/>
      <c r="X927" s="2" t="n"/>
      <c r="Y927" s="2" t="n"/>
      <c r="Z927" s="2" t="n"/>
    </row>
    <row r="928" ht="12.75" customHeight="1">
      <c r="A928" s="34" t="n"/>
      <c r="B928" s="34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  <c r="T928" s="2" t="n"/>
      <c r="U928" s="2" t="n"/>
      <c r="V928" s="2" t="n"/>
      <c r="W928" s="2" t="n"/>
      <c r="X928" s="2" t="n"/>
      <c r="Y928" s="2" t="n"/>
      <c r="Z928" s="2" t="n"/>
    </row>
    <row r="929" ht="12.75" customHeight="1">
      <c r="A929" s="34" t="n"/>
      <c r="B929" s="34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  <c r="T929" s="2" t="n"/>
      <c r="U929" s="2" t="n"/>
      <c r="V929" s="2" t="n"/>
      <c r="W929" s="2" t="n"/>
      <c r="X929" s="2" t="n"/>
      <c r="Y929" s="2" t="n"/>
      <c r="Z929" s="2" t="n"/>
    </row>
    <row r="930" ht="12.75" customHeight="1">
      <c r="A930" s="34" t="n"/>
      <c r="B930" s="34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  <c r="T930" s="2" t="n"/>
      <c r="U930" s="2" t="n"/>
      <c r="V930" s="2" t="n"/>
      <c r="W930" s="2" t="n"/>
      <c r="X930" s="2" t="n"/>
      <c r="Y930" s="2" t="n"/>
      <c r="Z930" s="2" t="n"/>
    </row>
    <row r="931" ht="12.75" customHeight="1">
      <c r="A931" s="34" t="n"/>
      <c r="B931" s="34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  <c r="T931" s="2" t="n"/>
      <c r="U931" s="2" t="n"/>
      <c r="V931" s="2" t="n"/>
      <c r="W931" s="2" t="n"/>
      <c r="X931" s="2" t="n"/>
      <c r="Y931" s="2" t="n"/>
      <c r="Z931" s="2" t="n"/>
    </row>
    <row r="932" ht="12.75" customHeight="1">
      <c r="A932" s="34" t="n"/>
      <c r="B932" s="34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  <c r="T932" s="2" t="n"/>
      <c r="U932" s="2" t="n"/>
      <c r="V932" s="2" t="n"/>
      <c r="W932" s="2" t="n"/>
      <c r="X932" s="2" t="n"/>
      <c r="Y932" s="2" t="n"/>
      <c r="Z932" s="2" t="n"/>
    </row>
    <row r="933" ht="12.75" customHeight="1">
      <c r="A933" s="34" t="n"/>
      <c r="B933" s="34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  <c r="T933" s="2" t="n"/>
      <c r="U933" s="2" t="n"/>
      <c r="V933" s="2" t="n"/>
      <c r="W933" s="2" t="n"/>
      <c r="X933" s="2" t="n"/>
      <c r="Y933" s="2" t="n"/>
      <c r="Z933" s="2" t="n"/>
    </row>
    <row r="934" ht="12.75" customHeight="1">
      <c r="A934" s="34" t="n"/>
      <c r="B934" s="34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  <c r="T934" s="2" t="n"/>
      <c r="U934" s="2" t="n"/>
      <c r="V934" s="2" t="n"/>
      <c r="W934" s="2" t="n"/>
      <c r="X934" s="2" t="n"/>
      <c r="Y934" s="2" t="n"/>
      <c r="Z934" s="2" t="n"/>
    </row>
    <row r="935" ht="12.75" customHeight="1">
      <c r="A935" s="34" t="n"/>
      <c r="B935" s="34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  <c r="T935" s="2" t="n"/>
      <c r="U935" s="2" t="n"/>
      <c r="V935" s="2" t="n"/>
      <c r="W935" s="2" t="n"/>
      <c r="X935" s="2" t="n"/>
      <c r="Y935" s="2" t="n"/>
      <c r="Z935" s="2" t="n"/>
    </row>
    <row r="936" ht="12.75" customHeight="1">
      <c r="A936" s="34" t="n"/>
      <c r="B936" s="34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  <c r="T936" s="2" t="n"/>
      <c r="U936" s="2" t="n"/>
      <c r="V936" s="2" t="n"/>
      <c r="W936" s="2" t="n"/>
      <c r="X936" s="2" t="n"/>
      <c r="Y936" s="2" t="n"/>
      <c r="Z936" s="2" t="n"/>
    </row>
    <row r="937" ht="12.75" customHeight="1">
      <c r="A937" s="34" t="n"/>
      <c r="B937" s="34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  <c r="T937" s="2" t="n"/>
      <c r="U937" s="2" t="n"/>
      <c r="V937" s="2" t="n"/>
      <c r="W937" s="2" t="n"/>
      <c r="X937" s="2" t="n"/>
      <c r="Y937" s="2" t="n"/>
      <c r="Z937" s="2" t="n"/>
    </row>
    <row r="938" ht="12.75" customHeight="1">
      <c r="A938" s="34" t="n"/>
      <c r="B938" s="34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  <c r="T938" s="2" t="n"/>
      <c r="U938" s="2" t="n"/>
      <c r="V938" s="2" t="n"/>
      <c r="W938" s="2" t="n"/>
      <c r="X938" s="2" t="n"/>
      <c r="Y938" s="2" t="n"/>
      <c r="Z938" s="2" t="n"/>
    </row>
    <row r="939" ht="12.75" customHeight="1">
      <c r="A939" s="34" t="n"/>
      <c r="B939" s="34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  <c r="T939" s="2" t="n"/>
      <c r="U939" s="2" t="n"/>
      <c r="V939" s="2" t="n"/>
      <c r="W939" s="2" t="n"/>
      <c r="X939" s="2" t="n"/>
      <c r="Y939" s="2" t="n"/>
      <c r="Z939" s="2" t="n"/>
    </row>
    <row r="940" ht="12.75" customHeight="1">
      <c r="A940" s="34" t="n"/>
      <c r="B940" s="34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  <c r="T940" s="2" t="n"/>
      <c r="U940" s="2" t="n"/>
      <c r="V940" s="2" t="n"/>
      <c r="W940" s="2" t="n"/>
      <c r="X940" s="2" t="n"/>
      <c r="Y940" s="2" t="n"/>
      <c r="Z940" s="2" t="n"/>
    </row>
    <row r="941" ht="12.75" customHeight="1">
      <c r="A941" s="34" t="n"/>
      <c r="B941" s="34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  <c r="T941" s="2" t="n"/>
      <c r="U941" s="2" t="n"/>
      <c r="V941" s="2" t="n"/>
      <c r="W941" s="2" t="n"/>
      <c r="X941" s="2" t="n"/>
      <c r="Y941" s="2" t="n"/>
      <c r="Z941" s="2" t="n"/>
    </row>
    <row r="942" ht="12.75" customHeight="1">
      <c r="A942" s="34" t="n"/>
      <c r="B942" s="34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  <c r="T942" s="2" t="n"/>
      <c r="U942" s="2" t="n"/>
      <c r="V942" s="2" t="n"/>
      <c r="W942" s="2" t="n"/>
      <c r="X942" s="2" t="n"/>
      <c r="Y942" s="2" t="n"/>
      <c r="Z942" s="2" t="n"/>
    </row>
    <row r="943" ht="12.75" customHeight="1">
      <c r="A943" s="34" t="n"/>
      <c r="B943" s="34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  <c r="T943" s="2" t="n"/>
      <c r="U943" s="2" t="n"/>
      <c r="V943" s="2" t="n"/>
      <c r="W943" s="2" t="n"/>
      <c r="X943" s="2" t="n"/>
      <c r="Y943" s="2" t="n"/>
      <c r="Z943" s="2" t="n"/>
    </row>
    <row r="944" ht="12.75" customHeight="1">
      <c r="A944" s="34" t="n"/>
      <c r="B944" s="34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  <c r="T944" s="2" t="n"/>
      <c r="U944" s="2" t="n"/>
      <c r="V944" s="2" t="n"/>
      <c r="W944" s="2" t="n"/>
      <c r="X944" s="2" t="n"/>
      <c r="Y944" s="2" t="n"/>
      <c r="Z944" s="2" t="n"/>
    </row>
    <row r="945" ht="12.75" customHeight="1">
      <c r="A945" s="34" t="n"/>
      <c r="B945" s="34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  <c r="T945" s="2" t="n"/>
      <c r="U945" s="2" t="n"/>
      <c r="V945" s="2" t="n"/>
      <c r="W945" s="2" t="n"/>
      <c r="X945" s="2" t="n"/>
      <c r="Y945" s="2" t="n"/>
      <c r="Z945" s="2" t="n"/>
    </row>
    <row r="946" ht="12.75" customHeight="1">
      <c r="A946" s="34" t="n"/>
      <c r="B946" s="34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  <c r="T946" s="2" t="n"/>
      <c r="U946" s="2" t="n"/>
      <c r="V946" s="2" t="n"/>
      <c r="W946" s="2" t="n"/>
      <c r="X946" s="2" t="n"/>
      <c r="Y946" s="2" t="n"/>
      <c r="Z946" s="2" t="n"/>
    </row>
    <row r="947" ht="12.75" customHeight="1">
      <c r="A947" s="34" t="n"/>
      <c r="B947" s="34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  <c r="T947" s="2" t="n"/>
      <c r="U947" s="2" t="n"/>
      <c r="V947" s="2" t="n"/>
      <c r="W947" s="2" t="n"/>
      <c r="X947" s="2" t="n"/>
      <c r="Y947" s="2" t="n"/>
      <c r="Z947" s="2" t="n"/>
    </row>
    <row r="948" ht="12.75" customHeight="1">
      <c r="A948" s="34" t="n"/>
      <c r="B948" s="34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  <c r="T948" s="2" t="n"/>
      <c r="U948" s="2" t="n"/>
      <c r="V948" s="2" t="n"/>
      <c r="W948" s="2" t="n"/>
      <c r="X948" s="2" t="n"/>
      <c r="Y948" s="2" t="n"/>
      <c r="Z948" s="2" t="n"/>
    </row>
    <row r="949" ht="12.75" customHeight="1">
      <c r="A949" s="34" t="n"/>
      <c r="B949" s="34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  <c r="T949" s="2" t="n"/>
      <c r="U949" s="2" t="n"/>
      <c r="V949" s="2" t="n"/>
      <c r="W949" s="2" t="n"/>
      <c r="X949" s="2" t="n"/>
      <c r="Y949" s="2" t="n"/>
      <c r="Z949" s="2" t="n"/>
    </row>
    <row r="950" ht="12.75" customHeight="1">
      <c r="A950" s="34" t="n"/>
      <c r="B950" s="34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  <c r="T950" s="2" t="n"/>
      <c r="U950" s="2" t="n"/>
      <c r="V950" s="2" t="n"/>
      <c r="W950" s="2" t="n"/>
      <c r="X950" s="2" t="n"/>
      <c r="Y950" s="2" t="n"/>
      <c r="Z950" s="2" t="n"/>
    </row>
    <row r="951" ht="12.75" customHeight="1">
      <c r="A951" s="34" t="n"/>
      <c r="B951" s="34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  <c r="T951" s="2" t="n"/>
      <c r="U951" s="2" t="n"/>
      <c r="V951" s="2" t="n"/>
      <c r="W951" s="2" t="n"/>
      <c r="X951" s="2" t="n"/>
      <c r="Y951" s="2" t="n"/>
      <c r="Z951" s="2" t="n"/>
    </row>
    <row r="952" ht="12.75" customHeight="1">
      <c r="A952" s="34" t="n"/>
      <c r="B952" s="34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  <c r="T952" s="2" t="n"/>
      <c r="U952" s="2" t="n"/>
      <c r="V952" s="2" t="n"/>
      <c r="W952" s="2" t="n"/>
      <c r="X952" s="2" t="n"/>
      <c r="Y952" s="2" t="n"/>
      <c r="Z952" s="2" t="n"/>
    </row>
    <row r="953" ht="12.75" customHeight="1">
      <c r="A953" s="34" t="n"/>
      <c r="B953" s="34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  <c r="T953" s="2" t="n"/>
      <c r="U953" s="2" t="n"/>
      <c r="V953" s="2" t="n"/>
      <c r="W953" s="2" t="n"/>
      <c r="X953" s="2" t="n"/>
      <c r="Y953" s="2" t="n"/>
      <c r="Z953" s="2" t="n"/>
    </row>
    <row r="954" ht="12.75" customHeight="1">
      <c r="A954" s="34" t="n"/>
      <c r="B954" s="34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  <c r="T954" s="2" t="n"/>
      <c r="U954" s="2" t="n"/>
      <c r="V954" s="2" t="n"/>
      <c r="W954" s="2" t="n"/>
      <c r="X954" s="2" t="n"/>
      <c r="Y954" s="2" t="n"/>
      <c r="Z954" s="2" t="n"/>
    </row>
    <row r="955" ht="12.75" customHeight="1">
      <c r="A955" s="34" t="n"/>
      <c r="B955" s="34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  <c r="T955" s="2" t="n"/>
      <c r="U955" s="2" t="n"/>
      <c r="V955" s="2" t="n"/>
      <c r="W955" s="2" t="n"/>
      <c r="X955" s="2" t="n"/>
      <c r="Y955" s="2" t="n"/>
      <c r="Z955" s="2" t="n"/>
    </row>
    <row r="956" ht="12.75" customHeight="1">
      <c r="A956" s="34" t="n"/>
      <c r="B956" s="34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  <c r="T956" s="2" t="n"/>
      <c r="U956" s="2" t="n"/>
      <c r="V956" s="2" t="n"/>
      <c r="W956" s="2" t="n"/>
      <c r="X956" s="2" t="n"/>
      <c r="Y956" s="2" t="n"/>
      <c r="Z956" s="2" t="n"/>
    </row>
    <row r="957" ht="12.75" customHeight="1">
      <c r="A957" s="34" t="n"/>
      <c r="B957" s="34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  <c r="T957" s="2" t="n"/>
      <c r="U957" s="2" t="n"/>
      <c r="V957" s="2" t="n"/>
      <c r="W957" s="2" t="n"/>
      <c r="X957" s="2" t="n"/>
      <c r="Y957" s="2" t="n"/>
      <c r="Z957" s="2" t="n"/>
    </row>
    <row r="958" ht="12.75" customHeight="1">
      <c r="A958" s="34" t="n"/>
      <c r="B958" s="34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  <c r="T958" s="2" t="n"/>
      <c r="U958" s="2" t="n"/>
      <c r="V958" s="2" t="n"/>
      <c r="W958" s="2" t="n"/>
      <c r="X958" s="2" t="n"/>
      <c r="Y958" s="2" t="n"/>
      <c r="Z958" s="2" t="n"/>
    </row>
    <row r="959" ht="12.75" customHeight="1">
      <c r="A959" s="34" t="n"/>
      <c r="B959" s="34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  <c r="T959" s="2" t="n"/>
      <c r="U959" s="2" t="n"/>
      <c r="V959" s="2" t="n"/>
      <c r="W959" s="2" t="n"/>
      <c r="X959" s="2" t="n"/>
      <c r="Y959" s="2" t="n"/>
      <c r="Z959" s="2" t="n"/>
    </row>
    <row r="960" ht="12.75" customHeight="1">
      <c r="A960" s="34" t="n"/>
      <c r="B960" s="34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  <c r="T960" s="2" t="n"/>
      <c r="U960" s="2" t="n"/>
      <c r="V960" s="2" t="n"/>
      <c r="W960" s="2" t="n"/>
      <c r="X960" s="2" t="n"/>
      <c r="Y960" s="2" t="n"/>
      <c r="Z960" s="2" t="n"/>
    </row>
    <row r="961" ht="12.75" customHeight="1">
      <c r="A961" s="34" t="n"/>
      <c r="B961" s="34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  <c r="T961" s="2" t="n"/>
      <c r="U961" s="2" t="n"/>
      <c r="V961" s="2" t="n"/>
      <c r="W961" s="2" t="n"/>
      <c r="X961" s="2" t="n"/>
      <c r="Y961" s="2" t="n"/>
      <c r="Z961" s="2" t="n"/>
    </row>
    <row r="962" ht="12.75" customHeight="1">
      <c r="A962" s="34" t="n"/>
      <c r="B962" s="34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  <c r="T962" s="2" t="n"/>
      <c r="U962" s="2" t="n"/>
      <c r="V962" s="2" t="n"/>
      <c r="W962" s="2" t="n"/>
      <c r="X962" s="2" t="n"/>
      <c r="Y962" s="2" t="n"/>
      <c r="Z962" s="2" t="n"/>
    </row>
    <row r="963" ht="12.75" customHeight="1">
      <c r="A963" s="34" t="n"/>
      <c r="B963" s="34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  <c r="T963" s="2" t="n"/>
      <c r="U963" s="2" t="n"/>
      <c r="V963" s="2" t="n"/>
      <c r="W963" s="2" t="n"/>
      <c r="X963" s="2" t="n"/>
      <c r="Y963" s="2" t="n"/>
      <c r="Z963" s="2" t="n"/>
    </row>
    <row r="964" ht="12.75" customHeight="1">
      <c r="A964" s="34" t="n"/>
      <c r="B964" s="34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  <c r="T964" s="2" t="n"/>
      <c r="U964" s="2" t="n"/>
      <c r="V964" s="2" t="n"/>
      <c r="W964" s="2" t="n"/>
      <c r="X964" s="2" t="n"/>
      <c r="Y964" s="2" t="n"/>
      <c r="Z964" s="2" t="n"/>
    </row>
    <row r="965" ht="12.75" customHeight="1">
      <c r="A965" s="34" t="n"/>
      <c r="B965" s="34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  <c r="T965" s="2" t="n"/>
      <c r="U965" s="2" t="n"/>
      <c r="V965" s="2" t="n"/>
      <c r="W965" s="2" t="n"/>
      <c r="X965" s="2" t="n"/>
      <c r="Y965" s="2" t="n"/>
      <c r="Z965" s="2" t="n"/>
    </row>
    <row r="966" ht="12.75" customHeight="1">
      <c r="A966" s="34" t="n"/>
      <c r="B966" s="34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  <c r="T966" s="2" t="n"/>
      <c r="U966" s="2" t="n"/>
      <c r="V966" s="2" t="n"/>
      <c r="W966" s="2" t="n"/>
      <c r="X966" s="2" t="n"/>
      <c r="Y966" s="2" t="n"/>
      <c r="Z966" s="2" t="n"/>
    </row>
    <row r="967" ht="12.75" customHeight="1">
      <c r="A967" s="34" t="n"/>
      <c r="B967" s="34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  <c r="T967" s="2" t="n"/>
      <c r="U967" s="2" t="n"/>
      <c r="V967" s="2" t="n"/>
      <c r="W967" s="2" t="n"/>
      <c r="X967" s="2" t="n"/>
      <c r="Y967" s="2" t="n"/>
      <c r="Z967" s="2" t="n"/>
    </row>
    <row r="968" ht="12.75" customHeight="1">
      <c r="A968" s="34" t="n"/>
      <c r="B968" s="34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  <c r="T968" s="2" t="n"/>
      <c r="U968" s="2" t="n"/>
      <c r="V968" s="2" t="n"/>
      <c r="W968" s="2" t="n"/>
      <c r="X968" s="2" t="n"/>
      <c r="Y968" s="2" t="n"/>
      <c r="Z968" s="2" t="n"/>
    </row>
    <row r="969" ht="12.75" customHeight="1">
      <c r="A969" s="34" t="n"/>
      <c r="B969" s="34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  <c r="T969" s="2" t="n"/>
      <c r="U969" s="2" t="n"/>
      <c r="V969" s="2" t="n"/>
      <c r="W969" s="2" t="n"/>
      <c r="X969" s="2" t="n"/>
      <c r="Y969" s="2" t="n"/>
      <c r="Z969" s="2" t="n"/>
    </row>
    <row r="970" ht="12.75" customHeight="1">
      <c r="A970" s="34" t="n"/>
      <c r="B970" s="34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  <c r="T970" s="2" t="n"/>
      <c r="U970" s="2" t="n"/>
      <c r="V970" s="2" t="n"/>
      <c r="W970" s="2" t="n"/>
      <c r="X970" s="2" t="n"/>
      <c r="Y970" s="2" t="n"/>
      <c r="Z970" s="2" t="n"/>
    </row>
    <row r="971" ht="12.75" customHeight="1">
      <c r="A971" s="34" t="n"/>
      <c r="B971" s="34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  <c r="T971" s="2" t="n"/>
      <c r="U971" s="2" t="n"/>
      <c r="V971" s="2" t="n"/>
      <c r="W971" s="2" t="n"/>
      <c r="X971" s="2" t="n"/>
      <c r="Y971" s="2" t="n"/>
      <c r="Z971" s="2" t="n"/>
    </row>
    <row r="972" ht="12.75" customHeight="1">
      <c r="A972" s="34" t="n"/>
      <c r="B972" s="34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  <c r="T972" s="2" t="n"/>
      <c r="U972" s="2" t="n"/>
      <c r="V972" s="2" t="n"/>
      <c r="W972" s="2" t="n"/>
      <c r="X972" s="2" t="n"/>
      <c r="Y972" s="2" t="n"/>
      <c r="Z972" s="2" t="n"/>
    </row>
    <row r="973" ht="12.75" customHeight="1">
      <c r="A973" s="34" t="n"/>
      <c r="B973" s="34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  <c r="T973" s="2" t="n"/>
      <c r="U973" s="2" t="n"/>
      <c r="V973" s="2" t="n"/>
      <c r="W973" s="2" t="n"/>
      <c r="X973" s="2" t="n"/>
      <c r="Y973" s="2" t="n"/>
      <c r="Z973" s="2" t="n"/>
    </row>
    <row r="974" ht="12.75" customHeight="1">
      <c r="A974" s="34" t="n"/>
      <c r="B974" s="34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  <c r="T974" s="2" t="n"/>
      <c r="U974" s="2" t="n"/>
      <c r="V974" s="2" t="n"/>
      <c r="W974" s="2" t="n"/>
      <c r="X974" s="2" t="n"/>
      <c r="Y974" s="2" t="n"/>
      <c r="Z974" s="2" t="n"/>
    </row>
    <row r="975" ht="12.75" customHeight="1">
      <c r="A975" s="34" t="n"/>
      <c r="B975" s="34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  <c r="T975" s="2" t="n"/>
      <c r="U975" s="2" t="n"/>
      <c r="V975" s="2" t="n"/>
      <c r="W975" s="2" t="n"/>
      <c r="X975" s="2" t="n"/>
      <c r="Y975" s="2" t="n"/>
      <c r="Z975" s="2" t="n"/>
    </row>
    <row r="976" ht="12.75" customHeight="1">
      <c r="A976" s="34" t="n"/>
      <c r="B976" s="34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  <c r="T976" s="2" t="n"/>
      <c r="U976" s="2" t="n"/>
      <c r="V976" s="2" t="n"/>
      <c r="W976" s="2" t="n"/>
      <c r="X976" s="2" t="n"/>
      <c r="Y976" s="2" t="n"/>
      <c r="Z976" s="2" t="n"/>
    </row>
    <row r="977" ht="12.75" customHeight="1">
      <c r="A977" s="34" t="n"/>
      <c r="B977" s="34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  <c r="T977" s="2" t="n"/>
      <c r="U977" s="2" t="n"/>
      <c r="V977" s="2" t="n"/>
      <c r="W977" s="2" t="n"/>
      <c r="X977" s="2" t="n"/>
      <c r="Y977" s="2" t="n"/>
      <c r="Z977" s="2" t="n"/>
    </row>
    <row r="978" ht="12.75" customHeight="1">
      <c r="A978" s="34" t="n"/>
      <c r="B978" s="34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  <c r="T978" s="2" t="n"/>
      <c r="U978" s="2" t="n"/>
      <c r="V978" s="2" t="n"/>
      <c r="W978" s="2" t="n"/>
      <c r="X978" s="2" t="n"/>
      <c r="Y978" s="2" t="n"/>
      <c r="Z978" s="2" t="n"/>
    </row>
    <row r="979" ht="12.75" customHeight="1">
      <c r="A979" s="34" t="n"/>
      <c r="B979" s="34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  <c r="T979" s="2" t="n"/>
      <c r="U979" s="2" t="n"/>
      <c r="V979" s="2" t="n"/>
      <c r="W979" s="2" t="n"/>
      <c r="X979" s="2" t="n"/>
      <c r="Y979" s="2" t="n"/>
      <c r="Z979" s="2" t="n"/>
    </row>
    <row r="980" ht="12.75" customHeight="1">
      <c r="A980" s="34" t="n"/>
      <c r="B980" s="34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  <c r="T980" s="2" t="n"/>
      <c r="U980" s="2" t="n"/>
      <c r="V980" s="2" t="n"/>
      <c r="W980" s="2" t="n"/>
      <c r="X980" s="2" t="n"/>
      <c r="Y980" s="2" t="n"/>
      <c r="Z980" s="2" t="n"/>
    </row>
    <row r="981" ht="12.75" customHeight="1">
      <c r="A981" s="34" t="n"/>
      <c r="B981" s="34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  <c r="T981" s="2" t="n"/>
      <c r="U981" s="2" t="n"/>
      <c r="V981" s="2" t="n"/>
      <c r="W981" s="2" t="n"/>
      <c r="X981" s="2" t="n"/>
      <c r="Y981" s="2" t="n"/>
      <c r="Z981" s="2" t="n"/>
    </row>
    <row r="982" ht="12.75" customHeight="1">
      <c r="A982" s="34" t="n"/>
      <c r="B982" s="34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  <c r="T982" s="2" t="n"/>
      <c r="U982" s="2" t="n"/>
      <c r="V982" s="2" t="n"/>
      <c r="W982" s="2" t="n"/>
      <c r="X982" s="2" t="n"/>
      <c r="Y982" s="2" t="n"/>
      <c r="Z982" s="2" t="n"/>
    </row>
    <row r="983" ht="12.75" customHeight="1">
      <c r="A983" s="34" t="n"/>
      <c r="B983" s="34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  <c r="T983" s="2" t="n"/>
      <c r="U983" s="2" t="n"/>
      <c r="V983" s="2" t="n"/>
      <c r="W983" s="2" t="n"/>
      <c r="X983" s="2" t="n"/>
      <c r="Y983" s="2" t="n"/>
      <c r="Z983" s="2" t="n"/>
    </row>
    <row r="984" ht="12.75" customHeight="1">
      <c r="A984" s="34" t="n"/>
      <c r="B984" s="34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  <c r="T984" s="2" t="n"/>
      <c r="U984" s="2" t="n"/>
      <c r="V984" s="2" t="n"/>
      <c r="W984" s="2" t="n"/>
      <c r="X984" s="2" t="n"/>
      <c r="Y984" s="2" t="n"/>
      <c r="Z984" s="2" t="n"/>
    </row>
    <row r="985" ht="12.75" customHeight="1">
      <c r="A985" s="34" t="n"/>
      <c r="B985" s="34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  <c r="T985" s="2" t="n"/>
      <c r="U985" s="2" t="n"/>
      <c r="V985" s="2" t="n"/>
      <c r="W985" s="2" t="n"/>
      <c r="X985" s="2" t="n"/>
      <c r="Y985" s="2" t="n"/>
      <c r="Z985" s="2" t="n"/>
    </row>
    <row r="986" ht="12.75" customHeight="1">
      <c r="A986" s="34" t="n"/>
      <c r="B986" s="34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  <c r="T986" s="2" t="n"/>
      <c r="U986" s="2" t="n"/>
      <c r="V986" s="2" t="n"/>
      <c r="W986" s="2" t="n"/>
      <c r="X986" s="2" t="n"/>
      <c r="Y986" s="2" t="n"/>
      <c r="Z986" s="2" t="n"/>
    </row>
    <row r="987" ht="12.75" customHeight="1">
      <c r="A987" s="34" t="n"/>
      <c r="B987" s="34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  <c r="T987" s="2" t="n"/>
      <c r="U987" s="2" t="n"/>
      <c r="V987" s="2" t="n"/>
      <c r="W987" s="2" t="n"/>
      <c r="X987" s="2" t="n"/>
      <c r="Y987" s="2" t="n"/>
      <c r="Z987" s="2" t="n"/>
    </row>
    <row r="988" ht="12.75" customHeight="1">
      <c r="A988" s="34" t="n"/>
      <c r="B988" s="34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  <c r="T988" s="2" t="n"/>
      <c r="U988" s="2" t="n"/>
      <c r="V988" s="2" t="n"/>
      <c r="W988" s="2" t="n"/>
      <c r="X988" s="2" t="n"/>
      <c r="Y988" s="2" t="n"/>
      <c r="Z988" s="2" t="n"/>
    </row>
    <row r="989" ht="12.75" customHeight="1">
      <c r="A989" s="34" t="n"/>
      <c r="B989" s="34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  <c r="T989" s="2" t="n"/>
      <c r="U989" s="2" t="n"/>
      <c r="V989" s="2" t="n"/>
      <c r="W989" s="2" t="n"/>
      <c r="X989" s="2" t="n"/>
      <c r="Y989" s="2" t="n"/>
      <c r="Z989" s="2" t="n"/>
    </row>
    <row r="990" ht="12.75" customHeight="1">
      <c r="A990" s="34" t="n"/>
      <c r="B990" s="34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  <c r="T990" s="2" t="n"/>
      <c r="U990" s="2" t="n"/>
      <c r="V990" s="2" t="n"/>
      <c r="W990" s="2" t="n"/>
      <c r="X990" s="2" t="n"/>
      <c r="Y990" s="2" t="n"/>
      <c r="Z990" s="2" t="n"/>
    </row>
    <row r="991" ht="12.75" customHeight="1">
      <c r="A991" s="34" t="n"/>
      <c r="B991" s="34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  <c r="T991" s="2" t="n"/>
      <c r="U991" s="2" t="n"/>
      <c r="V991" s="2" t="n"/>
      <c r="W991" s="2" t="n"/>
      <c r="X991" s="2" t="n"/>
      <c r="Y991" s="2" t="n"/>
      <c r="Z991" s="2" t="n"/>
    </row>
    <row r="992" ht="12.75" customHeight="1">
      <c r="A992" s="34" t="n"/>
      <c r="B992" s="34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  <c r="T992" s="2" t="n"/>
      <c r="U992" s="2" t="n"/>
      <c r="V992" s="2" t="n"/>
      <c r="W992" s="2" t="n"/>
      <c r="X992" s="2" t="n"/>
      <c r="Y992" s="2" t="n"/>
      <c r="Z992" s="2" t="n"/>
    </row>
    <row r="993" ht="12.75" customHeight="1">
      <c r="A993" s="34" t="n"/>
      <c r="B993" s="34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  <c r="T993" s="2" t="n"/>
      <c r="U993" s="2" t="n"/>
      <c r="V993" s="2" t="n"/>
      <c r="W993" s="2" t="n"/>
      <c r="X993" s="2" t="n"/>
      <c r="Y993" s="2" t="n"/>
      <c r="Z993" s="2" t="n"/>
    </row>
    <row r="994" ht="12.75" customHeight="1">
      <c r="A994" s="34" t="n"/>
      <c r="B994" s="34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  <c r="T994" s="2" t="n"/>
      <c r="U994" s="2" t="n"/>
      <c r="V994" s="2" t="n"/>
      <c r="W994" s="2" t="n"/>
      <c r="X994" s="2" t="n"/>
      <c r="Y994" s="2" t="n"/>
      <c r="Z994" s="2" t="n"/>
    </row>
    <row r="995" ht="12.75" customHeight="1">
      <c r="A995" s="34" t="n"/>
      <c r="B995" s="34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  <c r="T995" s="2" t="n"/>
      <c r="U995" s="2" t="n"/>
      <c r="V995" s="2" t="n"/>
      <c r="W995" s="2" t="n"/>
      <c r="X995" s="2" t="n"/>
      <c r="Y995" s="2" t="n"/>
      <c r="Z995" s="2" t="n"/>
    </row>
    <row r="996" ht="12.75" customHeight="1">
      <c r="A996" s="34" t="n"/>
      <c r="B996" s="34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  <c r="T996" s="2" t="n"/>
      <c r="U996" s="2" t="n"/>
      <c r="V996" s="2" t="n"/>
      <c r="W996" s="2" t="n"/>
      <c r="X996" s="2" t="n"/>
      <c r="Y996" s="2" t="n"/>
      <c r="Z996" s="2" t="n"/>
    </row>
    <row r="997" ht="12.75" customHeight="1">
      <c r="A997" s="34" t="n"/>
      <c r="B997" s="34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  <c r="T997" s="2" t="n"/>
      <c r="U997" s="2" t="n"/>
      <c r="V997" s="2" t="n"/>
      <c r="W997" s="2" t="n"/>
      <c r="X997" s="2" t="n"/>
      <c r="Y997" s="2" t="n"/>
      <c r="Z997" s="2" t="n"/>
    </row>
    <row r="998" ht="12.75" customHeight="1">
      <c r="A998" s="34" t="n"/>
      <c r="B998" s="34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  <c r="T998" s="2" t="n"/>
      <c r="U998" s="2" t="n"/>
      <c r="V998" s="2" t="n"/>
      <c r="W998" s="2" t="n"/>
      <c r="X998" s="2" t="n"/>
      <c r="Y998" s="2" t="n"/>
      <c r="Z998" s="2" t="n"/>
    </row>
    <row r="999" ht="12.75" customHeight="1">
      <c r="A999" s="34" t="n"/>
      <c r="B999" s="34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  <c r="T999" s="2" t="n"/>
      <c r="U999" s="2" t="n"/>
      <c r="V999" s="2" t="n"/>
      <c r="W999" s="2" t="n"/>
      <c r="X999" s="2" t="n"/>
      <c r="Y999" s="2" t="n"/>
      <c r="Z999" s="2" t="n"/>
    </row>
  </sheetData>
  <mergeCells count="20">
    <mergeCell ref="A15:B15"/>
    <mergeCell ref="B37:B41"/>
    <mergeCell ref="A25:A28"/>
    <mergeCell ref="A6:B6"/>
    <mergeCell ref="A16:B16"/>
    <mergeCell ref="B29:B32"/>
    <mergeCell ref="A33:A36"/>
    <mergeCell ref="A3:E3"/>
    <mergeCell ref="D16:E16"/>
    <mergeCell ref="A5:B5"/>
    <mergeCell ref="A23:E23"/>
    <mergeCell ref="A29:A32"/>
    <mergeCell ref="B33:B36"/>
    <mergeCell ref="B42:B44"/>
    <mergeCell ref="C6:E6"/>
    <mergeCell ref="C5:E5"/>
    <mergeCell ref="D15:E15"/>
    <mergeCell ref="B25:B28"/>
    <mergeCell ref="A37:A41"/>
    <mergeCell ref="A42:A44"/>
  </mergeCells>
  <dataValidations count="1">
    <dataValidation sqref="C9:C11" showDropDown="0" showInputMessage="0" showErrorMessage="1" allowBlank="1" type="list">
      <formula1>$C$50:$C$53</formula1>
    </dataValidation>
  </dataValidations>
  <printOptions horizontalCentered="1" verticalCentered="1"/>
  <pageMargins left="0.2362204724409449" right="0.2362204724409449" top="0.03937007874015748" bottom="0.03937007874015748" header="0" footer="0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Pierre de Villoutreys</dc:creator>
  <dcterms:created xmlns:dcterms="http://purl.org/dc/terms/" xmlns:xsi="http://www.w3.org/2001/XMLSchema-instance" xsi:type="dcterms:W3CDTF">2006-12-28T16:12:16Z</dcterms:created>
  <dcterms:modified xmlns:dcterms="http://purl.org/dc/terms/" xmlns:xsi="http://www.w3.org/2001/XMLSchema-instance" xsi:type="dcterms:W3CDTF">2026-05-21T17:59:32Z</dcterms:modified>
  <cp:lastModifiedBy>ALOUI Haithem</cp:lastModifiedBy>
</cp:coreProperties>
</file>

<file path=docProps/custom.xml><?xml version="1.0" encoding="utf-8"?>
<Properties xmlns="http://schemas.openxmlformats.org/officeDocument/2006/custom-properties">
  <property name="MSIP_Label_f43b7177-c66c-4b22-a350-7ee86f9a1e74_Enabled" fmtid="{D5CDD505-2E9C-101B-9397-08002B2CF9AE}" pid="2">
    <vt:lpwstr xmlns:vt="http://schemas.openxmlformats.org/officeDocument/2006/docPropsVTypes">True</vt:lpwstr>
  </property>
  <property name="MSIP_Label_f43b7177-c66c-4b22-a350-7ee86f9a1e74_SiteId" fmtid="{D5CDD505-2E9C-101B-9397-08002B2CF9AE}" pid="3">
    <vt:lpwstr xmlns:vt="http://schemas.openxmlformats.org/officeDocument/2006/docPropsVTypes">e4e1abd9-eac7-4a71-ab52-da5c998aa7ba</vt:lpwstr>
  </property>
  <property name="MSIP_Label_f43b7177-c66c-4b22-a350-7ee86f9a1e74_Owner" fmtid="{D5CDD505-2E9C-101B-9397-08002B2CF9AE}" pid="4">
    <vt:lpwstr xmlns:vt="http://schemas.openxmlformats.org/officeDocument/2006/docPropsVTypes">clement.sinnaeve@rd.loreal.com</vt:lpwstr>
  </property>
  <property name="MSIP_Label_f43b7177-c66c-4b22-a350-7ee86f9a1e74_SetDate" fmtid="{D5CDD505-2E9C-101B-9397-08002B2CF9AE}" pid="5">
    <vt:lpwstr xmlns:vt="http://schemas.openxmlformats.org/officeDocument/2006/docPropsVTypes">2020-10-13T07:51:44.4662687Z</vt:lpwstr>
  </property>
  <property name="MSIP_Label_f43b7177-c66c-4b22-a350-7ee86f9a1e74_Name" fmtid="{D5CDD505-2E9C-101B-9397-08002B2CF9AE}" pid="6">
    <vt:lpwstr xmlns:vt="http://schemas.openxmlformats.org/officeDocument/2006/docPropsVTypes">C1 - Internal use</vt:lpwstr>
  </property>
  <property name="MSIP_Label_f43b7177-c66c-4b22-a350-7ee86f9a1e74_Application" fmtid="{D5CDD505-2E9C-101B-9397-08002B2CF9AE}" pid="7">
    <vt:lpwstr xmlns:vt="http://schemas.openxmlformats.org/officeDocument/2006/docPropsVTypes">Microsoft Azure Information Protection</vt:lpwstr>
  </property>
  <property name="MSIP_Label_f43b7177-c66c-4b22-a350-7ee86f9a1e74_ActionId" fmtid="{D5CDD505-2E9C-101B-9397-08002B2CF9AE}" pid="8">
    <vt:lpwstr xmlns:vt="http://schemas.openxmlformats.org/officeDocument/2006/docPropsVTypes">4a679464-3553-41ed-9b16-4da9de2fd811</vt:lpwstr>
  </property>
  <property name="MSIP_Label_f43b7177-c66c-4b22-a350-7ee86f9a1e74_Extended_MSFT_Method" fmtid="{D5CDD505-2E9C-101B-9397-08002B2CF9AE}" pid="9">
    <vt:lpwstr xmlns:vt="http://schemas.openxmlformats.org/officeDocument/2006/docPropsVTypes">Automatic</vt:lpwstr>
  </property>
  <property name="Sensitivity" fmtid="{D5CDD505-2E9C-101B-9397-08002B2CF9AE}" pid="10">
    <vt:lpwstr xmlns:vt="http://schemas.openxmlformats.org/officeDocument/2006/docPropsVTypes">C1 - Internal use</vt:lpwstr>
  </property>
</Properties>
</file>